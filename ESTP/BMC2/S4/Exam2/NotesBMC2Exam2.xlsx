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ntestp-my.sharepoint.com/personal/mberger_estp_fr/Documents/Documents/Projets/slides/ESTP/BMC2/S4/Exam2/"/>
    </mc:Choice>
  </mc:AlternateContent>
  <xr:revisionPtr revIDLastSave="192" documentId="11_F25DC773A252ABDACC1048FAE91D44005BDE58EE" xr6:coauthVersionLast="47" xr6:coauthVersionMax="47" xr10:uidLastSave="{323B823D-69A4-4943-9468-DA5F5FFE6D67}"/>
  <bookViews>
    <workbookView xWindow="-24900" yWindow="3315" windowWidth="21705" windowHeight="107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C9" i="1" s="1"/>
  <c r="P10" i="1"/>
  <c r="C10" i="1" s="1"/>
  <c r="P11" i="1"/>
  <c r="C11" i="1" s="1"/>
  <c r="P12" i="1"/>
  <c r="C12" i="1" s="1"/>
  <c r="P13" i="1"/>
  <c r="C13" i="1" s="1"/>
  <c r="P14" i="1"/>
  <c r="C14" i="1" s="1"/>
  <c r="P15" i="1"/>
  <c r="C15" i="1" s="1"/>
  <c r="P16" i="1"/>
  <c r="C16" i="1" s="1"/>
  <c r="P17" i="1"/>
  <c r="C17" i="1" s="1"/>
  <c r="P18" i="1"/>
  <c r="C18" i="1" s="1"/>
  <c r="P19" i="1"/>
  <c r="C19" i="1" s="1"/>
  <c r="P20" i="1"/>
  <c r="C20" i="1" s="1"/>
  <c r="P21" i="1"/>
  <c r="C21" i="1" s="1"/>
  <c r="P8" i="1"/>
  <c r="C8" i="1" s="1"/>
</calcChain>
</file>

<file path=xl/sharedStrings.xml><?xml version="1.0" encoding="utf-8"?>
<sst xmlns="http://schemas.openxmlformats.org/spreadsheetml/2006/main" count="32" uniqueCount="32">
  <si>
    <t>GANE</t>
  </si>
  <si>
    <t>Térence</t>
  </si>
  <si>
    <t>GAUTHIOT</t>
  </si>
  <si>
    <t>Maxence</t>
  </si>
  <si>
    <t>GRANDJEAN</t>
  </si>
  <si>
    <t>Jeanne</t>
  </si>
  <si>
    <t>GUILLEBASTRE</t>
  </si>
  <si>
    <t>Raphaël</t>
  </si>
  <si>
    <t>JAVEY EYRAUD</t>
  </si>
  <si>
    <t>Paul</t>
  </si>
  <si>
    <t>LIETO</t>
  </si>
  <si>
    <t>Adam</t>
  </si>
  <si>
    <t>N'DOYE</t>
  </si>
  <si>
    <t>Fatoumata Oumar</t>
  </si>
  <si>
    <t>PEDARRE</t>
  </si>
  <si>
    <t>Pénélope</t>
  </si>
  <si>
    <t>PIHET</t>
  </si>
  <si>
    <t>Adrien</t>
  </si>
  <si>
    <t xml:space="preserve">RIBAULT </t>
  </si>
  <si>
    <t>Ulysse</t>
  </si>
  <si>
    <t>SOARES CUNHA</t>
  </si>
  <si>
    <t>Maria Fernanda</t>
  </si>
  <si>
    <t>TEMPO</t>
  </si>
  <si>
    <t>Edison</t>
  </si>
  <si>
    <t>YOUSSOUF</t>
  </si>
  <si>
    <t>Nils</t>
  </si>
  <si>
    <t>NGBANDO NGOMBE ZIMANGO</t>
  </si>
  <si>
    <t>Emmanuel</t>
  </si>
  <si>
    <t>Exo 1.1</t>
  </si>
  <si>
    <t>Exo 2.1</t>
  </si>
  <si>
    <t>Exo 3.1</t>
  </si>
  <si>
    <t>sur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</si>
</sst>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3" xfId="0" applyBorder="1"/>
    <xf numFmtId="0" fontId="0" fillId="2" borderId="3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P21"/>
  <sheetViews>
    <sheetView tabSelected="1" workbookViewId="0">
      <selection activeCell="C8" sqref="C8"/>
    </sheetView>
  </sheetViews>
  <sheetFormatPr baseColWidth="10" defaultColWidth="9.06640625" defaultRowHeight="14.25" x14ac:dyDescent="0.45"/>
  <cols>
    <col min="1" max="2" width="15.9296875" customWidth="1"/>
  </cols>
  <sheetData>
    <row r="6" spans="1:16" x14ac:dyDescent="0.45">
      <c r="D6" t="s">
        <v>28</v>
      </c>
      <c r="E6">
        <v>2</v>
      </c>
      <c r="F6">
        <v>3</v>
      </c>
      <c r="G6" s="5">
        <v>4</v>
      </c>
      <c r="H6" t="s">
        <v>29</v>
      </c>
      <c r="I6">
        <v>2</v>
      </c>
      <c r="J6">
        <v>3</v>
      </c>
      <c r="K6">
        <v>4</v>
      </c>
      <c r="L6" s="5">
        <v>5</v>
      </c>
      <c r="M6" t="s">
        <v>30</v>
      </c>
      <c r="N6">
        <v>2</v>
      </c>
      <c r="O6">
        <v>3</v>
      </c>
    </row>
    <row r="7" spans="1:16" x14ac:dyDescent="0.45">
      <c r="C7" t="s">
        <v>31</v>
      </c>
      <c r="D7">
        <v>1</v>
      </c>
      <c r="E7">
        <v>4</v>
      </c>
      <c r="F7">
        <v>2</v>
      </c>
      <c r="G7" s="5">
        <v>3</v>
      </c>
      <c r="H7">
        <v>2</v>
      </c>
      <c r="I7">
        <v>3</v>
      </c>
      <c r="J7">
        <v>1</v>
      </c>
      <c r="K7">
        <v>2</v>
      </c>
      <c r="L7" s="5">
        <v>2</v>
      </c>
      <c r="M7">
        <v>4</v>
      </c>
      <c r="N7">
        <v>4</v>
      </c>
      <c r="O7">
        <v>2</v>
      </c>
    </row>
    <row r="8" spans="1:16" x14ac:dyDescent="0.45">
      <c r="A8" s="1" t="s">
        <v>0</v>
      </c>
      <c r="B8" s="1" t="s">
        <v>1</v>
      </c>
      <c r="C8">
        <f>ROUNDUP(P8*20/30,1)</f>
        <v>12.7</v>
      </c>
      <c r="D8">
        <v>4</v>
      </c>
      <c r="E8">
        <v>4</v>
      </c>
      <c r="F8">
        <v>4</v>
      </c>
      <c r="G8" s="5"/>
      <c r="H8">
        <v>4</v>
      </c>
      <c r="I8">
        <v>4</v>
      </c>
      <c r="J8">
        <v>0</v>
      </c>
      <c r="L8" s="5"/>
      <c r="M8">
        <v>4</v>
      </c>
      <c r="N8">
        <v>1</v>
      </c>
      <c r="O8">
        <v>4</v>
      </c>
      <c r="P8">
        <f>SUMPRODUCT(D8:O8,D$7:O$7)/4</f>
        <v>19</v>
      </c>
    </row>
    <row r="9" spans="1:16" x14ac:dyDescent="0.45">
      <c r="A9" s="1" t="s">
        <v>2</v>
      </c>
      <c r="B9" s="1" t="s">
        <v>3</v>
      </c>
      <c r="C9">
        <f>ROUNDUP(P9*20/30,1)</f>
        <v>12.4</v>
      </c>
      <c r="D9">
        <v>4</v>
      </c>
      <c r="E9">
        <v>4</v>
      </c>
      <c r="F9">
        <v>4</v>
      </c>
      <c r="G9" s="5">
        <v>3</v>
      </c>
      <c r="H9">
        <v>4</v>
      </c>
      <c r="I9">
        <v>3</v>
      </c>
      <c r="L9" s="5"/>
      <c r="M9">
        <v>3</v>
      </c>
      <c r="N9">
        <v>2</v>
      </c>
      <c r="P9">
        <f t="shared" ref="P9:P21" si="0">SUMPRODUCT(D9:O9,D$7:O$7)/4</f>
        <v>18.5</v>
      </c>
    </row>
    <row r="10" spans="1:16" x14ac:dyDescent="0.45">
      <c r="A10" s="1" t="s">
        <v>4</v>
      </c>
      <c r="B10" s="1" t="s">
        <v>5</v>
      </c>
      <c r="C10">
        <f>ROUNDUP(P10*20/30,1)</f>
        <v>19</v>
      </c>
      <c r="D10">
        <v>4</v>
      </c>
      <c r="E10">
        <v>4</v>
      </c>
      <c r="F10">
        <v>4</v>
      </c>
      <c r="G10" s="5">
        <v>4</v>
      </c>
      <c r="H10">
        <v>4</v>
      </c>
      <c r="I10">
        <v>4</v>
      </c>
      <c r="J10">
        <v>4</v>
      </c>
      <c r="K10">
        <v>4</v>
      </c>
      <c r="L10" s="5">
        <v>2</v>
      </c>
      <c r="M10">
        <v>4</v>
      </c>
      <c r="N10">
        <v>4</v>
      </c>
      <c r="O10">
        <v>3</v>
      </c>
      <c r="P10">
        <f t="shared" si="0"/>
        <v>28.5</v>
      </c>
    </row>
    <row r="11" spans="1:16" x14ac:dyDescent="0.45">
      <c r="A11" s="1" t="s">
        <v>6</v>
      </c>
      <c r="B11" s="1" t="s">
        <v>7</v>
      </c>
      <c r="C11">
        <f>ROUNDUP(P11*20/30,1)</f>
        <v>9.9</v>
      </c>
      <c r="D11">
        <v>4</v>
      </c>
      <c r="E11">
        <v>3</v>
      </c>
      <c r="F11">
        <v>4</v>
      </c>
      <c r="G11" s="5">
        <v>1</v>
      </c>
      <c r="H11">
        <v>4</v>
      </c>
      <c r="I11">
        <v>4</v>
      </c>
      <c r="J11">
        <v>2</v>
      </c>
      <c r="K11">
        <v>1</v>
      </c>
      <c r="L11" s="5"/>
      <c r="M11">
        <v>2</v>
      </c>
      <c r="O11">
        <v>0</v>
      </c>
      <c r="P11">
        <f t="shared" si="0"/>
        <v>14.75</v>
      </c>
    </row>
    <row r="12" spans="1:16" s="4" customFormat="1" x14ac:dyDescent="0.45">
      <c r="A12" s="3" t="s">
        <v>8</v>
      </c>
      <c r="B12" s="3" t="s">
        <v>9</v>
      </c>
      <c r="C12">
        <f>ROUNDUP(P12*20/30,1)</f>
        <v>15.4</v>
      </c>
      <c r="D12" s="4">
        <v>4</v>
      </c>
      <c r="E12" s="4">
        <v>4</v>
      </c>
      <c r="F12" s="4">
        <v>4</v>
      </c>
      <c r="G12" s="6">
        <v>4</v>
      </c>
      <c r="H12" s="4">
        <v>4</v>
      </c>
      <c r="I12" s="4">
        <v>4</v>
      </c>
      <c r="J12" s="4">
        <v>4</v>
      </c>
      <c r="L12" s="6">
        <v>2</v>
      </c>
      <c r="M12" s="4">
        <v>4</v>
      </c>
      <c r="N12" s="4">
        <v>2</v>
      </c>
      <c r="O12" s="4">
        <v>0</v>
      </c>
      <c r="P12">
        <f t="shared" si="0"/>
        <v>23</v>
      </c>
    </row>
    <row r="13" spans="1:16" x14ac:dyDescent="0.45">
      <c r="A13" s="1" t="s">
        <v>10</v>
      </c>
      <c r="B13" s="1" t="s">
        <v>11</v>
      </c>
      <c r="C13">
        <f>ROUNDUP(P13*20/30,1)</f>
        <v>8.4</v>
      </c>
      <c r="D13">
        <v>4</v>
      </c>
      <c r="E13">
        <v>4</v>
      </c>
      <c r="F13">
        <v>1</v>
      </c>
      <c r="G13" s="5"/>
      <c r="H13">
        <v>4</v>
      </c>
      <c r="I13">
        <v>4</v>
      </c>
      <c r="J13">
        <v>4</v>
      </c>
      <c r="L13" s="5"/>
      <c r="M13">
        <v>1</v>
      </c>
      <c r="P13">
        <f t="shared" si="0"/>
        <v>12.5</v>
      </c>
    </row>
    <row r="14" spans="1:16" x14ac:dyDescent="0.45">
      <c r="A14" s="1" t="s">
        <v>12</v>
      </c>
      <c r="B14" s="1" t="s">
        <v>13</v>
      </c>
      <c r="C14">
        <f>ROUNDUP(P14*20/30,1)</f>
        <v>16.700000000000003</v>
      </c>
      <c r="D14">
        <v>4</v>
      </c>
      <c r="E14">
        <v>4</v>
      </c>
      <c r="F14">
        <v>4</v>
      </c>
      <c r="G14" s="5">
        <v>2</v>
      </c>
      <c r="H14" s="7">
        <v>4</v>
      </c>
      <c r="I14" s="7">
        <v>4</v>
      </c>
      <c r="J14" s="7">
        <v>4</v>
      </c>
      <c r="L14" s="5">
        <v>1</v>
      </c>
      <c r="M14">
        <v>4</v>
      </c>
      <c r="N14">
        <v>4</v>
      </c>
      <c r="O14">
        <v>4</v>
      </c>
      <c r="P14">
        <f t="shared" si="0"/>
        <v>25</v>
      </c>
    </row>
    <row r="15" spans="1:16" x14ac:dyDescent="0.45">
      <c r="A15" s="1" t="s">
        <v>14</v>
      </c>
      <c r="B15" s="1" t="s">
        <v>15</v>
      </c>
      <c r="C15">
        <f>ROUNDUP(P15*20/30,1)</f>
        <v>15</v>
      </c>
      <c r="D15">
        <v>4</v>
      </c>
      <c r="E15">
        <v>4</v>
      </c>
      <c r="F15">
        <v>4</v>
      </c>
      <c r="G15" s="5">
        <v>0</v>
      </c>
      <c r="H15">
        <v>4</v>
      </c>
      <c r="I15">
        <v>4</v>
      </c>
      <c r="J15">
        <v>2</v>
      </c>
      <c r="K15">
        <v>4</v>
      </c>
      <c r="L15" s="5">
        <v>4</v>
      </c>
      <c r="M15">
        <v>4</v>
      </c>
      <c r="N15">
        <v>2</v>
      </c>
      <c r="P15">
        <f t="shared" si="0"/>
        <v>22.5</v>
      </c>
    </row>
    <row r="16" spans="1:16" x14ac:dyDescent="0.45">
      <c r="A16" s="1" t="s">
        <v>16</v>
      </c>
      <c r="B16" s="1" t="s">
        <v>17</v>
      </c>
      <c r="C16">
        <f>ROUNDUP(P16*20/30,1)</f>
        <v>12</v>
      </c>
      <c r="D16">
        <v>4</v>
      </c>
      <c r="E16">
        <v>3</v>
      </c>
      <c r="F16">
        <v>4</v>
      </c>
      <c r="G16" s="5">
        <v>4</v>
      </c>
      <c r="H16">
        <v>4</v>
      </c>
      <c r="I16">
        <v>4</v>
      </c>
      <c r="L16" s="5"/>
      <c r="M16">
        <v>3</v>
      </c>
      <c r="N16">
        <v>1</v>
      </c>
      <c r="P16">
        <f t="shared" si="0"/>
        <v>18</v>
      </c>
    </row>
    <row r="17" spans="1:16" x14ac:dyDescent="0.45">
      <c r="A17" s="1" t="s">
        <v>18</v>
      </c>
      <c r="B17" s="1" t="s">
        <v>19</v>
      </c>
      <c r="C17">
        <f>ROUNDUP(P17*20/30,1)</f>
        <v>13.5</v>
      </c>
      <c r="D17">
        <v>4</v>
      </c>
      <c r="E17">
        <v>4</v>
      </c>
      <c r="F17">
        <v>4</v>
      </c>
      <c r="G17" s="5">
        <v>4</v>
      </c>
      <c r="H17">
        <v>4</v>
      </c>
      <c r="I17">
        <v>3</v>
      </c>
      <c r="J17">
        <v>4</v>
      </c>
      <c r="L17" s="5"/>
      <c r="M17">
        <v>4</v>
      </c>
      <c r="N17">
        <v>1</v>
      </c>
      <c r="P17">
        <f t="shared" si="0"/>
        <v>20.25</v>
      </c>
    </row>
    <row r="18" spans="1:16" s="4" customFormat="1" ht="13.9" customHeight="1" x14ac:dyDescent="0.45">
      <c r="A18" s="3" t="s">
        <v>20</v>
      </c>
      <c r="B18" s="3" t="s">
        <v>21</v>
      </c>
      <c r="C18">
        <f>ROUNDUP(P18*20/30,1)</f>
        <v>0</v>
      </c>
      <c r="G18" s="6"/>
      <c r="L18" s="6"/>
      <c r="P18">
        <f t="shared" si="0"/>
        <v>0</v>
      </c>
    </row>
    <row r="19" spans="1:16" x14ac:dyDescent="0.45">
      <c r="A19" s="1" t="s">
        <v>22</v>
      </c>
      <c r="B19" s="1" t="s">
        <v>23</v>
      </c>
      <c r="C19">
        <f>ROUNDUP(P19*20/30,1)</f>
        <v>13.7</v>
      </c>
      <c r="D19">
        <v>2</v>
      </c>
      <c r="E19">
        <v>2</v>
      </c>
      <c r="F19">
        <v>2</v>
      </c>
      <c r="G19" s="5">
        <v>2</v>
      </c>
      <c r="H19">
        <v>4</v>
      </c>
      <c r="I19">
        <v>4</v>
      </c>
      <c r="J19">
        <v>4</v>
      </c>
      <c r="K19">
        <v>0</v>
      </c>
      <c r="L19" s="5">
        <v>2</v>
      </c>
      <c r="M19">
        <v>4</v>
      </c>
      <c r="N19">
        <v>4</v>
      </c>
      <c r="O19">
        <v>1</v>
      </c>
      <c r="P19">
        <f t="shared" si="0"/>
        <v>20.5</v>
      </c>
    </row>
    <row r="20" spans="1:16" x14ac:dyDescent="0.45">
      <c r="A20" s="1" t="s">
        <v>24</v>
      </c>
      <c r="B20" s="1" t="s">
        <v>25</v>
      </c>
      <c r="C20">
        <f>ROUNDUP(P20*20/30,1)</f>
        <v>11.5</v>
      </c>
      <c r="D20">
        <v>4</v>
      </c>
      <c r="E20">
        <v>4</v>
      </c>
      <c r="F20">
        <v>4</v>
      </c>
      <c r="G20" s="5">
        <v>3</v>
      </c>
      <c r="H20">
        <v>4</v>
      </c>
      <c r="I20">
        <v>4</v>
      </c>
      <c r="L20" s="5"/>
      <c r="M20">
        <v>3</v>
      </c>
      <c r="P20">
        <f t="shared" si="0"/>
        <v>17.25</v>
      </c>
    </row>
    <row r="21" spans="1:16" x14ac:dyDescent="0.45">
      <c r="A21" s="2" t="s">
        <v>26</v>
      </c>
      <c r="B21" s="2" t="s">
        <v>27</v>
      </c>
      <c r="C21">
        <f>ROUNDUP(P21*20/30,1)</f>
        <v>3.7</v>
      </c>
      <c r="G21" s="5"/>
      <c r="H21">
        <v>3</v>
      </c>
      <c r="I21">
        <v>1</v>
      </c>
      <c r="J21">
        <v>1</v>
      </c>
      <c r="L21" s="5"/>
      <c r="M21">
        <v>3</v>
      </c>
      <c r="N21">
        <v>0</v>
      </c>
      <c r="O21">
        <v>0</v>
      </c>
      <c r="P21">
        <f t="shared" si="0"/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Berger</dc:creator>
  <cp:lastModifiedBy>BERGER Maxime</cp:lastModifiedBy>
  <dcterms:created xsi:type="dcterms:W3CDTF">2015-06-05T18:17:20Z</dcterms:created>
  <dcterms:modified xsi:type="dcterms:W3CDTF">2026-06-03T12:55:07Z</dcterms:modified>
</cp:coreProperties>
</file>