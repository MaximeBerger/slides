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entestp-my.sharepoint.com/personal/mberger_estp_fr/Documents/Documents/Projets/slides/ESTP/PGE1/S5/AnalyseAlgebre/11-Exam/"/>
    </mc:Choice>
  </mc:AlternateContent>
  <xr:revisionPtr revIDLastSave="1322" documentId="11_F25DC773A252ABDACC1048D7115F5CA65BDE58EE" xr6:coauthVersionLast="47" xr6:coauthVersionMax="47" xr10:uidLastSave="{269CC098-AB66-42D4-A3A9-0F6F229D4344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D34" i="1"/>
  <c r="C34" i="1" s="1"/>
  <c r="W39" i="1"/>
  <c r="W25" i="1"/>
  <c r="W26" i="1"/>
  <c r="W27" i="1"/>
  <c r="W28" i="1"/>
  <c r="W29" i="1"/>
  <c r="W30" i="1"/>
  <c r="W31" i="1"/>
  <c r="W32" i="1"/>
  <c r="W33" i="1"/>
  <c r="W35" i="1"/>
  <c r="W36" i="1"/>
  <c r="W37" i="1"/>
  <c r="W38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5" i="1"/>
  <c r="W6" i="1"/>
  <c r="W7" i="1"/>
  <c r="W8" i="1"/>
  <c r="W10" i="1"/>
  <c r="W11" i="1"/>
  <c r="W12" i="1"/>
  <c r="W14" i="1"/>
  <c r="W15" i="1"/>
  <c r="W16" i="1"/>
  <c r="W18" i="1"/>
  <c r="W19" i="1"/>
  <c r="W20" i="1"/>
  <c r="W21" i="1"/>
  <c r="W22" i="1"/>
  <c r="W23" i="1"/>
  <c r="W24" i="1"/>
  <c r="W4" i="1"/>
</calcChain>
</file>

<file path=xl/sharedStrings.xml><?xml version="1.0" encoding="utf-8"?>
<sst xmlns="http://schemas.openxmlformats.org/spreadsheetml/2006/main" count="133" uniqueCount="124">
  <si>
    <t>barême</t>
  </si>
  <si>
    <t>ADAM</t>
  </si>
  <si>
    <t>Camille</t>
  </si>
  <si>
    <t>ASDALI</t>
  </si>
  <si>
    <t>Léa</t>
  </si>
  <si>
    <t>BABEL</t>
  </si>
  <si>
    <t>Laurine</t>
  </si>
  <si>
    <t>BARBIERI</t>
  </si>
  <si>
    <t>Lucas</t>
  </si>
  <si>
    <t>BLANCHARD</t>
  </si>
  <si>
    <t>Pétronille</t>
  </si>
  <si>
    <t>BLANCHET</t>
  </si>
  <si>
    <t>Marin</t>
  </si>
  <si>
    <t>BOGHOSSIAN</t>
  </si>
  <si>
    <t>Nicolas</t>
  </si>
  <si>
    <t>BONTE</t>
  </si>
  <si>
    <t>Raphaël</t>
  </si>
  <si>
    <t>BORNE</t>
  </si>
  <si>
    <t>Bastien</t>
  </si>
  <si>
    <t>BRIAND</t>
  </si>
  <si>
    <t>Maëlle</t>
  </si>
  <si>
    <t>CHATELIER</t>
  </si>
  <si>
    <t>Ricarson</t>
  </si>
  <si>
    <t>COHEN</t>
  </si>
  <si>
    <t>Nathan</t>
  </si>
  <si>
    <t>DEMUTRECY</t>
  </si>
  <si>
    <t>Téva</t>
  </si>
  <si>
    <t>DURAND</t>
  </si>
  <si>
    <t>Erwan</t>
  </si>
  <si>
    <t>EL KHATTABI</t>
  </si>
  <si>
    <t>Adil</t>
  </si>
  <si>
    <t>FABRE</t>
  </si>
  <si>
    <t>Hadrien</t>
  </si>
  <si>
    <t>FERRIÈRE</t>
  </si>
  <si>
    <t>Rémi</t>
  </si>
  <si>
    <t>FORNES</t>
  </si>
  <si>
    <t>Annabelle</t>
  </si>
  <si>
    <t>FOUCHART</t>
  </si>
  <si>
    <t>Mathis</t>
  </si>
  <si>
    <t>FURIC</t>
  </si>
  <si>
    <t>GALI</t>
  </si>
  <si>
    <t>Côme</t>
  </si>
  <si>
    <t>GENTIEN</t>
  </si>
  <si>
    <t>Clément</t>
  </si>
  <si>
    <t>GJURAJ</t>
  </si>
  <si>
    <t>Andrea</t>
  </si>
  <si>
    <t>GMILI</t>
  </si>
  <si>
    <t>Nacim</t>
  </si>
  <si>
    <t>GODIER</t>
  </si>
  <si>
    <t>Baptiste</t>
  </si>
  <si>
    <t>GOUY</t>
  </si>
  <si>
    <t>Ronan</t>
  </si>
  <si>
    <t>GRESSIER</t>
  </si>
  <si>
    <t>Théo</t>
  </si>
  <si>
    <t>GUILLAUBEY</t>
  </si>
  <si>
    <t>Louis-Ernest</t>
  </si>
  <si>
    <t>GUYENOT</t>
  </si>
  <si>
    <t>Noah</t>
  </si>
  <si>
    <t>HAJJI</t>
  </si>
  <si>
    <t>Aymane</t>
  </si>
  <si>
    <t>HAMITOUCHE</t>
  </si>
  <si>
    <t>Lena</t>
  </si>
  <si>
    <t>HUET</t>
  </si>
  <si>
    <t>Tom</t>
  </si>
  <si>
    <t>HUMBERT</t>
  </si>
  <si>
    <t>Apolline</t>
  </si>
  <si>
    <t>JÉGO</t>
  </si>
  <si>
    <t>Antoine</t>
  </si>
  <si>
    <t>JOUBERT</t>
  </si>
  <si>
    <t>Maxence</t>
  </si>
  <si>
    <t>KABLAN</t>
  </si>
  <si>
    <t>Ettiegne Lambert</t>
  </si>
  <si>
    <t>LACOMBE</t>
  </si>
  <si>
    <t>Alexis</t>
  </si>
  <si>
    <t>LEGEAY</t>
  </si>
  <si>
    <t>Léo-Paul</t>
  </si>
  <si>
    <t>LEMAN</t>
  </si>
  <si>
    <t>Aude</t>
  </si>
  <si>
    <t>LOKO</t>
  </si>
  <si>
    <t>Chabel Ezéchiel</t>
  </si>
  <si>
    <t>MAEGHT</t>
  </si>
  <si>
    <t>Enzo</t>
  </si>
  <si>
    <t>MASSELOT</t>
  </si>
  <si>
    <t>MENANT</t>
  </si>
  <si>
    <t>Alex</t>
  </si>
  <si>
    <t>MEROUANE</t>
  </si>
  <si>
    <t>Massin</t>
  </si>
  <si>
    <t>MEUNIER</t>
  </si>
  <si>
    <t>Ariane</t>
  </si>
  <si>
    <t>MORGEN</t>
  </si>
  <si>
    <t>Jules</t>
  </si>
  <si>
    <t>NATO</t>
  </si>
  <si>
    <t>Grace Michaelle</t>
  </si>
  <si>
    <t>NOEL</t>
  </si>
  <si>
    <t>Luc</t>
  </si>
  <si>
    <t>NZONLANG</t>
  </si>
  <si>
    <t>Kamkuie</t>
  </si>
  <si>
    <t>OUSMAN AMADOU</t>
  </si>
  <si>
    <t>Mahmoud</t>
  </si>
  <si>
    <t>PARRAIN-COLOMBANI</t>
  </si>
  <si>
    <t>Mathieu</t>
  </si>
  <si>
    <t>PAVIOT</t>
  </si>
  <si>
    <t>Solène</t>
  </si>
  <si>
    <t>PIERLOT</t>
  </si>
  <si>
    <t>Fabien</t>
  </si>
  <si>
    <t>POURCEL</t>
  </si>
  <si>
    <t>Thibaud</t>
  </si>
  <si>
    <t>QUEDELHA</t>
  </si>
  <si>
    <t>SAVIGNONI</t>
  </si>
  <si>
    <t>Julien</t>
  </si>
  <si>
    <t>STEINMETZ</t>
  </si>
  <si>
    <t>Anthony</t>
  </si>
  <si>
    <t>TLILI</t>
  </si>
  <si>
    <t>Sofiane</t>
  </si>
  <si>
    <t>TORCHIO</t>
  </si>
  <si>
    <t>Manao</t>
  </si>
  <si>
    <t>VANEY</t>
  </si>
  <si>
    <t>Théophile</t>
  </si>
  <si>
    <t>VANOTTI</t>
  </si>
  <si>
    <t>Aaron</t>
  </si>
  <si>
    <t>VINCENT</t>
  </si>
  <si>
    <t>Guihlem</t>
  </si>
  <si>
    <t>ZHANG</t>
  </si>
  <si>
    <t>Eva Xiangxiang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</si>
</sst>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5"/>
  <sheetViews>
    <sheetView tabSelected="1" topLeftCell="A19" workbookViewId="0">
      <selection activeCell="D1" sqref="D1:V2"/>
    </sheetView>
  </sheetViews>
  <sheetFormatPr baseColWidth="10" defaultColWidth="8.7265625" defaultRowHeight="15" customHeight="1" x14ac:dyDescent="0.35"/>
  <cols>
    <col min="1" max="1" width="11.81640625" customWidth="1"/>
    <col min="2" max="2" width="15.7265625" customWidth="1"/>
    <col min="3" max="3" width="9.1796875"/>
    <col min="4" max="22" width="6.453125" customWidth="1"/>
    <col min="23" max="23" width="16.1796875" customWidth="1"/>
  </cols>
  <sheetData>
    <row r="1" spans="1:23" x14ac:dyDescent="0.35">
      <c r="D1">
        <v>1.1000000000000001</v>
      </c>
      <c r="E1">
        <v>1.2</v>
      </c>
      <c r="F1">
        <v>1.3</v>
      </c>
      <c r="G1">
        <v>1.4</v>
      </c>
      <c r="H1">
        <v>1.5</v>
      </c>
      <c r="I1">
        <v>2.1</v>
      </c>
      <c r="J1">
        <v>2.2000000000000002</v>
      </c>
      <c r="K1">
        <v>2.2999999999999998</v>
      </c>
      <c r="L1">
        <v>3.1</v>
      </c>
      <c r="M1">
        <v>3.2</v>
      </c>
      <c r="N1">
        <v>3.3</v>
      </c>
      <c r="O1">
        <v>4.0999999999999996</v>
      </c>
      <c r="P1">
        <v>4.2</v>
      </c>
      <c r="Q1">
        <v>4.3</v>
      </c>
      <c r="R1">
        <v>4.4000000000000004</v>
      </c>
      <c r="S1">
        <v>4.5</v>
      </c>
      <c r="T1">
        <v>5.0999999999999996</v>
      </c>
      <c r="U1">
        <v>5.2</v>
      </c>
      <c r="V1">
        <v>5.3</v>
      </c>
    </row>
    <row r="2" spans="1:23" x14ac:dyDescent="0.35">
      <c r="A2" t="s">
        <v>56</v>
      </c>
      <c r="B2" t="s">
        <v>57</v>
      </c>
      <c r="C2">
        <v>13.25</v>
      </c>
      <c r="D2">
        <v>1</v>
      </c>
      <c r="E2">
        <v>0.5</v>
      </c>
      <c r="F2">
        <v>1</v>
      </c>
      <c r="G2">
        <v>0.5</v>
      </c>
      <c r="H2">
        <v>0.25</v>
      </c>
      <c r="I2">
        <v>0.75</v>
      </c>
      <c r="J2">
        <v>1.5</v>
      </c>
      <c r="K2">
        <v>1</v>
      </c>
      <c r="L2">
        <v>1</v>
      </c>
      <c r="M2">
        <v>0.5</v>
      </c>
      <c r="N2">
        <v>0.5</v>
      </c>
      <c r="O2">
        <v>1</v>
      </c>
      <c r="P2">
        <v>0.5</v>
      </c>
      <c r="Q2">
        <v>1</v>
      </c>
      <c r="R2">
        <v>0.5</v>
      </c>
      <c r="S2">
        <v>0</v>
      </c>
      <c r="T2">
        <v>0.75</v>
      </c>
      <c r="U2">
        <v>0.5</v>
      </c>
      <c r="V2">
        <v>0.5</v>
      </c>
    </row>
    <row r="3" spans="1:23" x14ac:dyDescent="0.35">
      <c r="B3" t="s">
        <v>0</v>
      </c>
      <c r="D3">
        <v>1</v>
      </c>
      <c r="E3">
        <v>0.5</v>
      </c>
      <c r="F3">
        <v>1</v>
      </c>
      <c r="G3">
        <v>1</v>
      </c>
      <c r="H3">
        <v>0.5</v>
      </c>
      <c r="I3">
        <v>1.5</v>
      </c>
      <c r="J3">
        <v>1.5</v>
      </c>
      <c r="K3">
        <v>1</v>
      </c>
      <c r="L3">
        <v>1</v>
      </c>
      <c r="M3">
        <v>1</v>
      </c>
      <c r="N3">
        <v>2</v>
      </c>
      <c r="O3">
        <v>1</v>
      </c>
      <c r="P3">
        <v>0.5</v>
      </c>
      <c r="Q3">
        <v>1</v>
      </c>
      <c r="R3">
        <v>0.5</v>
      </c>
      <c r="S3">
        <v>1</v>
      </c>
      <c r="T3">
        <v>1</v>
      </c>
      <c r="U3">
        <v>1</v>
      </c>
      <c r="V3">
        <v>2</v>
      </c>
    </row>
    <row r="4" spans="1:23" x14ac:dyDescent="0.35"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f>SUMPRODUCT(D$3:$V$3,D4:V4)/4</f>
        <v>20</v>
      </c>
    </row>
    <row r="5" spans="1:23" x14ac:dyDescent="0.35">
      <c r="A5" s="1" t="s">
        <v>1</v>
      </c>
      <c r="B5" s="1" t="s">
        <v>2</v>
      </c>
      <c r="C5">
        <v>13</v>
      </c>
      <c r="D5" s="4">
        <v>4</v>
      </c>
      <c r="E5">
        <v>2</v>
      </c>
      <c r="F5">
        <v>4</v>
      </c>
      <c r="G5">
        <v>1</v>
      </c>
      <c r="H5">
        <v>3</v>
      </c>
      <c r="I5">
        <v>4</v>
      </c>
      <c r="J5">
        <v>2</v>
      </c>
      <c r="K5">
        <v>4</v>
      </c>
      <c r="L5">
        <v>3</v>
      </c>
      <c r="M5">
        <v>3</v>
      </c>
      <c r="N5">
        <v>3</v>
      </c>
      <c r="O5">
        <v>4</v>
      </c>
      <c r="P5">
        <v>4</v>
      </c>
      <c r="Q5">
        <v>3</v>
      </c>
      <c r="R5">
        <v>4</v>
      </c>
      <c r="S5">
        <v>4</v>
      </c>
      <c r="T5">
        <v>0</v>
      </c>
      <c r="W5">
        <f>SUMPRODUCT(D$3:$V$3,D5:V5)/4</f>
        <v>12.875</v>
      </c>
    </row>
    <row r="6" spans="1:23" x14ac:dyDescent="0.35">
      <c r="A6" s="1" t="s">
        <v>3</v>
      </c>
      <c r="B6" s="1" t="s">
        <v>4</v>
      </c>
      <c r="C6">
        <v>17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2</v>
      </c>
      <c r="N6">
        <v>4</v>
      </c>
      <c r="O6">
        <v>4</v>
      </c>
      <c r="P6">
        <v>4</v>
      </c>
      <c r="Q6">
        <v>3</v>
      </c>
      <c r="R6">
        <v>4</v>
      </c>
      <c r="S6">
        <v>4</v>
      </c>
      <c r="T6">
        <v>4</v>
      </c>
      <c r="U6">
        <v>0</v>
      </c>
      <c r="V6">
        <v>2</v>
      </c>
      <c r="W6">
        <f>SUMPRODUCT(D$3:$V$3,D6:V6)/4</f>
        <v>17.25</v>
      </c>
    </row>
    <row r="7" spans="1:23" x14ac:dyDescent="0.35">
      <c r="A7" s="1" t="s">
        <v>5</v>
      </c>
      <c r="B7" s="1" t="s">
        <v>6</v>
      </c>
      <c r="C7">
        <v>18</v>
      </c>
      <c r="D7">
        <v>4</v>
      </c>
      <c r="E7">
        <v>4</v>
      </c>
      <c r="F7">
        <v>4</v>
      </c>
      <c r="G7">
        <v>4</v>
      </c>
      <c r="H7">
        <v>2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1</v>
      </c>
      <c r="V7">
        <v>2</v>
      </c>
      <c r="W7">
        <f>SUMPRODUCT(D$3:$V$3,D7:V7)/4</f>
        <v>18</v>
      </c>
    </row>
    <row r="8" spans="1:23" x14ac:dyDescent="0.35">
      <c r="A8" s="1" t="s">
        <v>7</v>
      </c>
      <c r="B8" s="2" t="s">
        <v>8</v>
      </c>
      <c r="C8">
        <v>15</v>
      </c>
      <c r="D8">
        <v>4</v>
      </c>
      <c r="E8">
        <v>4</v>
      </c>
      <c r="F8">
        <v>4</v>
      </c>
      <c r="G8">
        <v>4</v>
      </c>
      <c r="H8">
        <v>4</v>
      </c>
      <c r="I8">
        <v>1</v>
      </c>
      <c r="J8">
        <v>4</v>
      </c>
      <c r="K8">
        <v>0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T8">
        <v>2</v>
      </c>
      <c r="U8">
        <v>2</v>
      </c>
      <c r="V8">
        <v>2</v>
      </c>
      <c r="W8">
        <f>SUMPRODUCT(D$3:$V$3,D8:V8)/4</f>
        <v>14.875</v>
      </c>
    </row>
    <row r="9" spans="1:23" x14ac:dyDescent="0.35">
      <c r="A9" s="1" t="s">
        <v>9</v>
      </c>
      <c r="B9" s="1" t="s">
        <v>10</v>
      </c>
    </row>
    <row r="10" spans="1:23" x14ac:dyDescent="0.35">
      <c r="A10" s="3" t="s">
        <v>11</v>
      </c>
      <c r="B10" s="3" t="s">
        <v>12</v>
      </c>
      <c r="C10">
        <v>13</v>
      </c>
      <c r="D10">
        <v>4</v>
      </c>
      <c r="E10">
        <v>4</v>
      </c>
      <c r="F10">
        <v>4</v>
      </c>
      <c r="G10">
        <v>4</v>
      </c>
      <c r="I10">
        <v>4</v>
      </c>
      <c r="J10">
        <v>4</v>
      </c>
      <c r="K10">
        <v>4</v>
      </c>
      <c r="L10">
        <v>0</v>
      </c>
      <c r="M10">
        <v>0</v>
      </c>
      <c r="N10">
        <v>4</v>
      </c>
      <c r="O10">
        <v>4</v>
      </c>
      <c r="P10">
        <v>4</v>
      </c>
      <c r="Q10">
        <v>4</v>
      </c>
      <c r="R10">
        <v>4</v>
      </c>
      <c r="T10">
        <v>4</v>
      </c>
      <c r="U10">
        <v>0</v>
      </c>
      <c r="W10">
        <f>SUMPRODUCT(D$3:$V$3,D10:V10)/4</f>
        <v>13.5</v>
      </c>
    </row>
    <row r="11" spans="1:23" x14ac:dyDescent="0.35">
      <c r="A11" s="3" t="s">
        <v>13</v>
      </c>
      <c r="B11" s="3" t="s">
        <v>14</v>
      </c>
      <c r="C11">
        <v>13</v>
      </c>
      <c r="D11">
        <v>4</v>
      </c>
      <c r="E11">
        <v>4</v>
      </c>
      <c r="F11">
        <v>4</v>
      </c>
      <c r="G11">
        <v>4</v>
      </c>
      <c r="I11">
        <v>4</v>
      </c>
      <c r="J11">
        <v>2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3</v>
      </c>
      <c r="T11">
        <v>2</v>
      </c>
      <c r="W11">
        <f>SUMPRODUCT(D$3:$V$3,D11:V11)/4</f>
        <v>13.5</v>
      </c>
    </row>
    <row r="12" spans="1:23" x14ac:dyDescent="0.35">
      <c r="A12" s="3" t="s">
        <v>15</v>
      </c>
      <c r="B12" s="3" t="s">
        <v>16</v>
      </c>
      <c r="C12">
        <v>17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2</v>
      </c>
      <c r="L12">
        <v>4</v>
      </c>
      <c r="M12">
        <v>4</v>
      </c>
      <c r="N12">
        <v>2</v>
      </c>
      <c r="O12">
        <v>4</v>
      </c>
      <c r="P12">
        <v>4</v>
      </c>
      <c r="Q12">
        <v>3</v>
      </c>
      <c r="R12">
        <v>4</v>
      </c>
      <c r="S12">
        <v>2</v>
      </c>
      <c r="T12">
        <v>2</v>
      </c>
      <c r="U12">
        <v>4</v>
      </c>
      <c r="V12">
        <v>4</v>
      </c>
      <c r="W12">
        <f>SUMPRODUCT(D$3:$V$3,D12:V12)/4</f>
        <v>17.25</v>
      </c>
    </row>
    <row r="13" spans="1:23" x14ac:dyDescent="0.35">
      <c r="A13" s="3" t="s">
        <v>17</v>
      </c>
      <c r="B13" s="3" t="s">
        <v>18</v>
      </c>
    </row>
    <row r="14" spans="1:23" x14ac:dyDescent="0.35">
      <c r="A14" s="3" t="s">
        <v>19</v>
      </c>
      <c r="B14" s="3" t="s">
        <v>20</v>
      </c>
      <c r="C14">
        <v>12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0</v>
      </c>
      <c r="M14">
        <v>1</v>
      </c>
      <c r="O14">
        <v>4</v>
      </c>
      <c r="P14">
        <v>4</v>
      </c>
      <c r="R14">
        <v>1</v>
      </c>
      <c r="T14">
        <v>4</v>
      </c>
      <c r="U14">
        <v>2</v>
      </c>
      <c r="V14">
        <v>2</v>
      </c>
      <c r="W14">
        <f>SUMPRODUCT(D$3:$V$3,D14:V14)/4</f>
        <v>12.375</v>
      </c>
    </row>
    <row r="15" spans="1:23" x14ac:dyDescent="0.35">
      <c r="A15" s="3" t="s">
        <v>21</v>
      </c>
      <c r="B15" s="3" t="s">
        <v>22</v>
      </c>
      <c r="C15">
        <v>14</v>
      </c>
      <c r="D15">
        <v>4</v>
      </c>
      <c r="E15">
        <v>4</v>
      </c>
      <c r="F15">
        <v>2</v>
      </c>
      <c r="G15">
        <v>4</v>
      </c>
      <c r="H15">
        <v>2</v>
      </c>
      <c r="I15">
        <v>4</v>
      </c>
      <c r="J15">
        <v>2</v>
      </c>
      <c r="K15">
        <v>0</v>
      </c>
      <c r="L15">
        <v>4</v>
      </c>
      <c r="M15">
        <v>3</v>
      </c>
      <c r="N15">
        <v>4</v>
      </c>
      <c r="O15">
        <v>4</v>
      </c>
      <c r="P15">
        <v>4</v>
      </c>
      <c r="Q15">
        <v>4</v>
      </c>
      <c r="R15">
        <v>4</v>
      </c>
      <c r="S15">
        <v>3</v>
      </c>
      <c r="T15">
        <v>3</v>
      </c>
      <c r="W15">
        <f>SUMPRODUCT(D$3:$V$3,D15:V15)/4</f>
        <v>13.75</v>
      </c>
    </row>
    <row r="16" spans="1:23" x14ac:dyDescent="0.35">
      <c r="A16" s="3" t="s">
        <v>23</v>
      </c>
      <c r="B16" s="3" t="s">
        <v>24</v>
      </c>
      <c r="C16">
        <v>19</v>
      </c>
      <c r="D16">
        <v>4</v>
      </c>
      <c r="E16">
        <v>4</v>
      </c>
      <c r="F16">
        <v>4</v>
      </c>
      <c r="G16">
        <v>4</v>
      </c>
      <c r="H16">
        <v>0</v>
      </c>
      <c r="I16">
        <v>4</v>
      </c>
      <c r="J16">
        <v>4</v>
      </c>
      <c r="K16">
        <v>4</v>
      </c>
      <c r="L16">
        <v>4</v>
      </c>
      <c r="M16">
        <v>2</v>
      </c>
      <c r="N16">
        <v>4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f>SUMPRODUCT(D$3:$V$3,D16:V16)/4</f>
        <v>19</v>
      </c>
    </row>
    <row r="17" spans="1:23" x14ac:dyDescent="0.35">
      <c r="A17" s="3" t="s">
        <v>25</v>
      </c>
      <c r="B17" s="3" t="s">
        <v>26</v>
      </c>
    </row>
    <row r="18" spans="1:23" x14ac:dyDescent="0.35">
      <c r="A18" s="3" t="s">
        <v>27</v>
      </c>
      <c r="B18" s="3" t="s">
        <v>28</v>
      </c>
      <c r="C18">
        <v>12</v>
      </c>
      <c r="D18">
        <v>4</v>
      </c>
      <c r="E18">
        <v>4</v>
      </c>
      <c r="F18">
        <v>4</v>
      </c>
      <c r="G18">
        <v>4</v>
      </c>
      <c r="I18">
        <v>3</v>
      </c>
      <c r="J18">
        <v>4</v>
      </c>
      <c r="K18">
        <v>4</v>
      </c>
      <c r="O18">
        <v>4</v>
      </c>
      <c r="P18">
        <v>4</v>
      </c>
      <c r="Q18">
        <v>4</v>
      </c>
      <c r="R18">
        <v>4</v>
      </c>
      <c r="S18">
        <v>1</v>
      </c>
      <c r="T18">
        <v>2</v>
      </c>
      <c r="U18">
        <v>4</v>
      </c>
      <c r="V18">
        <v>1</v>
      </c>
      <c r="W18">
        <f>SUMPRODUCT(D$3:$V$3,D18:V18)/4</f>
        <v>12.375</v>
      </c>
    </row>
    <row r="19" spans="1:23" x14ac:dyDescent="0.35">
      <c r="A19" s="3" t="s">
        <v>29</v>
      </c>
      <c r="B19" s="3" t="s">
        <v>30</v>
      </c>
      <c r="C19">
        <v>15</v>
      </c>
      <c r="D19">
        <v>4</v>
      </c>
      <c r="E19">
        <v>4</v>
      </c>
      <c r="F19">
        <v>4</v>
      </c>
      <c r="G19">
        <v>4</v>
      </c>
      <c r="I19">
        <v>4</v>
      </c>
      <c r="J19">
        <v>3</v>
      </c>
      <c r="K19">
        <v>2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2</v>
      </c>
      <c r="T19">
        <v>3</v>
      </c>
      <c r="U19">
        <v>1</v>
      </c>
      <c r="W19">
        <f>SUMPRODUCT(D$3:$V$3,D19:V19)/4</f>
        <v>15.125</v>
      </c>
    </row>
    <row r="20" spans="1:23" x14ac:dyDescent="0.35">
      <c r="A20" s="3" t="s">
        <v>31</v>
      </c>
      <c r="B20" s="3" t="s">
        <v>32</v>
      </c>
      <c r="C20">
        <v>12</v>
      </c>
      <c r="D20">
        <v>4</v>
      </c>
      <c r="E20">
        <v>4</v>
      </c>
      <c r="F20">
        <v>4</v>
      </c>
      <c r="G20">
        <v>0</v>
      </c>
      <c r="H20">
        <v>1</v>
      </c>
      <c r="I20">
        <v>2</v>
      </c>
      <c r="J20">
        <v>0</v>
      </c>
      <c r="K20">
        <v>0</v>
      </c>
      <c r="L20">
        <v>4</v>
      </c>
      <c r="M20">
        <v>4</v>
      </c>
      <c r="N20">
        <v>4</v>
      </c>
      <c r="O20">
        <v>4</v>
      </c>
      <c r="P20">
        <v>4</v>
      </c>
      <c r="Q20">
        <v>3</v>
      </c>
      <c r="R20">
        <v>4</v>
      </c>
      <c r="S20">
        <v>4</v>
      </c>
      <c r="T20">
        <v>1</v>
      </c>
      <c r="U20">
        <v>1</v>
      </c>
      <c r="V20">
        <v>1</v>
      </c>
      <c r="W20">
        <f>SUMPRODUCT(D$3:$V$3,D20:V20)/4</f>
        <v>12.125</v>
      </c>
    </row>
    <row r="21" spans="1:23" x14ac:dyDescent="0.35">
      <c r="A21" s="3" t="s">
        <v>33</v>
      </c>
      <c r="B21" s="3" t="s">
        <v>34</v>
      </c>
      <c r="C21">
        <v>13</v>
      </c>
      <c r="D21">
        <v>4</v>
      </c>
      <c r="E21">
        <v>4</v>
      </c>
      <c r="F21">
        <v>4</v>
      </c>
      <c r="G21">
        <v>4</v>
      </c>
      <c r="I21">
        <v>4</v>
      </c>
      <c r="J21">
        <v>2</v>
      </c>
      <c r="K21">
        <v>4</v>
      </c>
      <c r="L21" s="4">
        <v>4</v>
      </c>
      <c r="N21">
        <v>4</v>
      </c>
      <c r="O21">
        <v>4</v>
      </c>
      <c r="P21">
        <v>4</v>
      </c>
      <c r="Q21">
        <v>3</v>
      </c>
      <c r="R21">
        <v>4</v>
      </c>
      <c r="T21">
        <v>3</v>
      </c>
      <c r="U21">
        <v>1</v>
      </c>
      <c r="W21">
        <f>SUMPRODUCT(D$3:$V$3,D21:V21)/4</f>
        <v>13.5</v>
      </c>
    </row>
    <row r="22" spans="1:23" x14ac:dyDescent="0.35">
      <c r="A22" s="3" t="s">
        <v>35</v>
      </c>
      <c r="B22" s="3" t="s">
        <v>36</v>
      </c>
      <c r="C22">
        <v>10</v>
      </c>
      <c r="D22">
        <v>4</v>
      </c>
      <c r="E22">
        <v>4</v>
      </c>
      <c r="F22">
        <v>4</v>
      </c>
      <c r="G22">
        <v>4</v>
      </c>
      <c r="I22">
        <v>4</v>
      </c>
      <c r="J22">
        <v>1</v>
      </c>
      <c r="K22">
        <v>4</v>
      </c>
      <c r="L22">
        <v>2</v>
      </c>
      <c r="M22">
        <v>0</v>
      </c>
      <c r="N22">
        <v>1</v>
      </c>
      <c r="O22">
        <v>4</v>
      </c>
      <c r="P22">
        <v>4</v>
      </c>
      <c r="Q22">
        <v>2</v>
      </c>
      <c r="T22">
        <v>0</v>
      </c>
      <c r="U22">
        <v>1</v>
      </c>
      <c r="W22">
        <f>SUMPRODUCT(D$3:$V$3,D22:V22)/4</f>
        <v>9.625</v>
      </c>
    </row>
    <row r="23" spans="1:23" x14ac:dyDescent="0.35">
      <c r="A23" s="3" t="s">
        <v>37</v>
      </c>
      <c r="B23" s="3" t="s">
        <v>38</v>
      </c>
      <c r="C23">
        <v>17</v>
      </c>
      <c r="D23">
        <v>4</v>
      </c>
      <c r="E23">
        <v>4</v>
      </c>
      <c r="F23">
        <v>4</v>
      </c>
      <c r="G23">
        <v>4</v>
      </c>
      <c r="H23">
        <v>3</v>
      </c>
      <c r="I23" s="4">
        <v>4</v>
      </c>
      <c r="J23">
        <v>4</v>
      </c>
      <c r="K23">
        <v>3</v>
      </c>
      <c r="L23">
        <v>4</v>
      </c>
      <c r="M23">
        <v>4</v>
      </c>
      <c r="N23">
        <v>4</v>
      </c>
      <c r="O23">
        <v>4</v>
      </c>
      <c r="P23">
        <v>4</v>
      </c>
      <c r="Q23">
        <v>3</v>
      </c>
      <c r="R23">
        <v>4</v>
      </c>
      <c r="S23">
        <v>4</v>
      </c>
      <c r="T23">
        <v>2</v>
      </c>
      <c r="U23">
        <v>1</v>
      </c>
      <c r="V23">
        <v>1</v>
      </c>
      <c r="W23">
        <f>SUMPRODUCT(D$3:$V$3,D23:V23)/4</f>
        <v>16.625</v>
      </c>
    </row>
    <row r="24" spans="1:23" x14ac:dyDescent="0.35">
      <c r="A24" s="3" t="s">
        <v>39</v>
      </c>
      <c r="B24" s="3" t="s">
        <v>38</v>
      </c>
      <c r="C24">
        <v>19</v>
      </c>
      <c r="D24">
        <v>4</v>
      </c>
      <c r="E24">
        <v>4</v>
      </c>
      <c r="F24">
        <v>4</v>
      </c>
      <c r="G24">
        <v>4</v>
      </c>
      <c r="H24">
        <v>0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>
        <v>4</v>
      </c>
      <c r="T24">
        <v>3</v>
      </c>
      <c r="U24">
        <v>4</v>
      </c>
      <c r="V24">
        <v>4</v>
      </c>
      <c r="W24">
        <f>SUMPRODUCT(D$3:$V$3,D24:V24)/4</f>
        <v>19.25</v>
      </c>
    </row>
    <row r="25" spans="1:23" x14ac:dyDescent="0.35">
      <c r="A25" s="3" t="s">
        <v>40</v>
      </c>
      <c r="B25" s="3" t="s">
        <v>41</v>
      </c>
      <c r="C25">
        <v>17</v>
      </c>
      <c r="D25">
        <v>4</v>
      </c>
      <c r="E25">
        <v>2</v>
      </c>
      <c r="F25">
        <v>4</v>
      </c>
      <c r="G25">
        <v>4</v>
      </c>
      <c r="H25">
        <v>2</v>
      </c>
      <c r="I25">
        <v>4</v>
      </c>
      <c r="J25">
        <v>2</v>
      </c>
      <c r="K25">
        <v>4</v>
      </c>
      <c r="L25">
        <v>2</v>
      </c>
      <c r="M25">
        <v>4</v>
      </c>
      <c r="N25">
        <v>4</v>
      </c>
      <c r="O25">
        <v>4</v>
      </c>
      <c r="P25">
        <v>4</v>
      </c>
      <c r="Q25">
        <v>3</v>
      </c>
      <c r="R25">
        <v>4</v>
      </c>
      <c r="S25">
        <v>4</v>
      </c>
      <c r="T25">
        <v>2</v>
      </c>
      <c r="U25">
        <v>2</v>
      </c>
      <c r="V25">
        <v>4</v>
      </c>
      <c r="W25">
        <f>SUMPRODUCT(D$3:$V$3,D25:V25)/4</f>
        <v>17</v>
      </c>
    </row>
    <row r="26" spans="1:23" x14ac:dyDescent="0.35">
      <c r="A26" s="3" t="s">
        <v>42</v>
      </c>
      <c r="B26" s="3" t="s">
        <v>43</v>
      </c>
      <c r="C26">
        <v>14</v>
      </c>
      <c r="D26">
        <v>4</v>
      </c>
      <c r="E26">
        <v>4</v>
      </c>
      <c r="F26">
        <v>4</v>
      </c>
      <c r="G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T26">
        <v>3</v>
      </c>
      <c r="U26">
        <v>1</v>
      </c>
      <c r="W26">
        <f>SUMPRODUCT(D$3:$V$3,D26:V26)/4</f>
        <v>14</v>
      </c>
    </row>
    <row r="27" spans="1:23" x14ac:dyDescent="0.35">
      <c r="A27" s="3" t="s">
        <v>44</v>
      </c>
      <c r="B27" s="3" t="s">
        <v>45</v>
      </c>
      <c r="C27">
        <v>19</v>
      </c>
      <c r="D27">
        <v>4</v>
      </c>
      <c r="E27">
        <v>4</v>
      </c>
      <c r="F27">
        <v>4</v>
      </c>
      <c r="G27">
        <v>4</v>
      </c>
      <c r="H27">
        <v>3</v>
      </c>
      <c r="I27">
        <v>4</v>
      </c>
      <c r="J27">
        <v>4</v>
      </c>
      <c r="K27">
        <v>4</v>
      </c>
      <c r="L27">
        <v>4</v>
      </c>
      <c r="M27">
        <v>4</v>
      </c>
      <c r="N27">
        <v>3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4</v>
      </c>
      <c r="W27">
        <f>SUMPRODUCT(D$3:$V$3,D27:V27)/4</f>
        <v>19.375</v>
      </c>
    </row>
    <row r="28" spans="1:23" x14ac:dyDescent="0.35">
      <c r="A28" s="3" t="s">
        <v>46</v>
      </c>
      <c r="B28" s="3" t="s">
        <v>47</v>
      </c>
      <c r="C28">
        <v>19</v>
      </c>
      <c r="D28">
        <v>4</v>
      </c>
      <c r="E28">
        <v>4</v>
      </c>
      <c r="F28">
        <v>4</v>
      </c>
      <c r="G28">
        <v>4</v>
      </c>
      <c r="H28">
        <v>3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2</v>
      </c>
      <c r="T28">
        <v>2</v>
      </c>
      <c r="U28">
        <v>4</v>
      </c>
      <c r="V28">
        <v>4</v>
      </c>
      <c r="W28">
        <f>SUMPRODUCT(D$3:$V$3,D28:V28)/4</f>
        <v>18.875</v>
      </c>
    </row>
    <row r="29" spans="1:23" x14ac:dyDescent="0.35">
      <c r="A29" s="3" t="s">
        <v>48</v>
      </c>
      <c r="B29" s="3" t="s">
        <v>49</v>
      </c>
      <c r="C29">
        <v>17</v>
      </c>
      <c r="D29">
        <v>4</v>
      </c>
      <c r="E29">
        <v>4</v>
      </c>
      <c r="F29">
        <v>4</v>
      </c>
      <c r="G29">
        <v>4</v>
      </c>
      <c r="H29">
        <v>2</v>
      </c>
      <c r="I29">
        <v>4</v>
      </c>
      <c r="J29">
        <v>4</v>
      </c>
      <c r="K29">
        <v>4</v>
      </c>
      <c r="L29">
        <v>4</v>
      </c>
      <c r="M29">
        <v>4</v>
      </c>
      <c r="N29">
        <v>2</v>
      </c>
      <c r="O29">
        <v>4</v>
      </c>
      <c r="P29">
        <v>4</v>
      </c>
      <c r="Q29">
        <v>4</v>
      </c>
      <c r="R29">
        <v>4</v>
      </c>
      <c r="S29">
        <v>4</v>
      </c>
      <c r="T29">
        <v>3</v>
      </c>
      <c r="U29">
        <v>4</v>
      </c>
      <c r="V29">
        <v>2</v>
      </c>
      <c r="W29">
        <f>SUMPRODUCT(D$3:$V$3,D29:V29)/4</f>
        <v>17.5</v>
      </c>
    </row>
    <row r="30" spans="1:23" x14ac:dyDescent="0.35">
      <c r="A30" s="3" t="s">
        <v>50</v>
      </c>
      <c r="B30" s="3" t="s">
        <v>51</v>
      </c>
      <c r="C30">
        <v>18</v>
      </c>
      <c r="D30">
        <v>4</v>
      </c>
      <c r="E30">
        <v>4</v>
      </c>
      <c r="F30">
        <v>4</v>
      </c>
      <c r="G30">
        <v>4</v>
      </c>
      <c r="I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f>SUMPRODUCT(D$3:$V$3,D30:V30)/4</f>
        <v>18</v>
      </c>
    </row>
    <row r="31" spans="1:23" x14ac:dyDescent="0.35">
      <c r="A31" s="3" t="s">
        <v>52</v>
      </c>
      <c r="B31" s="3" t="s">
        <v>53</v>
      </c>
      <c r="C31">
        <v>18</v>
      </c>
      <c r="D31">
        <v>4</v>
      </c>
      <c r="E31">
        <v>4</v>
      </c>
      <c r="F31">
        <v>4</v>
      </c>
      <c r="G31">
        <v>4</v>
      </c>
      <c r="H31">
        <v>2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4</v>
      </c>
      <c r="T31">
        <v>3</v>
      </c>
      <c r="U31">
        <v>4</v>
      </c>
      <c r="V31">
        <v>2</v>
      </c>
      <c r="W31">
        <f>SUMPRODUCT(D$3:$V$3,D31:V31)/4</f>
        <v>18.5</v>
      </c>
    </row>
    <row r="32" spans="1:23" x14ac:dyDescent="0.35">
      <c r="A32" s="3" t="s">
        <v>54</v>
      </c>
      <c r="B32" s="3" t="s">
        <v>55</v>
      </c>
      <c r="C32">
        <v>17</v>
      </c>
      <c r="D32">
        <v>4</v>
      </c>
      <c r="E32">
        <v>4</v>
      </c>
      <c r="F32">
        <v>4</v>
      </c>
      <c r="G32">
        <v>4</v>
      </c>
      <c r="H32">
        <v>1</v>
      </c>
      <c r="I32">
        <v>4</v>
      </c>
      <c r="J32">
        <v>4</v>
      </c>
      <c r="K32">
        <v>4</v>
      </c>
      <c r="L32">
        <v>4</v>
      </c>
      <c r="M32">
        <v>4</v>
      </c>
      <c r="N32">
        <v>4</v>
      </c>
      <c r="O32">
        <v>4</v>
      </c>
      <c r="P32">
        <v>4</v>
      </c>
      <c r="Q32">
        <v>4</v>
      </c>
      <c r="R32">
        <v>4</v>
      </c>
      <c r="S32">
        <v>4</v>
      </c>
      <c r="T32">
        <v>4</v>
      </c>
      <c r="V32">
        <v>1</v>
      </c>
      <c r="W32">
        <f>SUMPRODUCT(D$3:$V$3,D32:V32)/4</f>
        <v>17.125</v>
      </c>
    </row>
    <row r="33" spans="1:23" x14ac:dyDescent="0.35">
      <c r="A33" s="3" t="s">
        <v>56</v>
      </c>
      <c r="B33" s="3" t="s">
        <v>57</v>
      </c>
      <c r="C33">
        <v>13</v>
      </c>
      <c r="D33">
        <v>4</v>
      </c>
      <c r="E33">
        <v>4</v>
      </c>
      <c r="F33">
        <v>4</v>
      </c>
      <c r="G33">
        <v>2</v>
      </c>
      <c r="H33">
        <v>2</v>
      </c>
      <c r="I33">
        <v>2</v>
      </c>
      <c r="J33">
        <v>4</v>
      </c>
      <c r="K33">
        <v>4</v>
      </c>
      <c r="L33">
        <v>4</v>
      </c>
      <c r="M33">
        <v>2</v>
      </c>
      <c r="N33">
        <v>1</v>
      </c>
      <c r="O33">
        <v>4</v>
      </c>
      <c r="P33">
        <v>4</v>
      </c>
      <c r="Q33">
        <v>4</v>
      </c>
      <c r="R33">
        <v>4</v>
      </c>
      <c r="S33">
        <v>0</v>
      </c>
      <c r="T33">
        <v>3</v>
      </c>
      <c r="U33">
        <v>2</v>
      </c>
      <c r="V33">
        <v>1</v>
      </c>
      <c r="W33">
        <f>SUMPRODUCT(D$3:$V$3,D33:V33)/4</f>
        <v>13.25</v>
      </c>
    </row>
    <row r="34" spans="1:23" x14ac:dyDescent="0.35">
      <c r="A34" s="3" t="s">
        <v>56</v>
      </c>
      <c r="B34" s="3" t="s">
        <v>57</v>
      </c>
      <c r="C34">
        <f>SUM(D34:V34)</f>
        <v>13.25</v>
      </c>
      <c r="D34">
        <f>D3*D33/4</f>
        <v>1</v>
      </c>
      <c r="E34">
        <f t="shared" ref="E34:V34" si="0">E3*E33/4</f>
        <v>0.5</v>
      </c>
      <c r="F34">
        <f t="shared" si="0"/>
        <v>1</v>
      </c>
      <c r="G34">
        <f t="shared" si="0"/>
        <v>0.5</v>
      </c>
      <c r="H34">
        <f t="shared" si="0"/>
        <v>0.25</v>
      </c>
      <c r="I34">
        <f t="shared" si="0"/>
        <v>0.75</v>
      </c>
      <c r="J34">
        <f t="shared" si="0"/>
        <v>1.5</v>
      </c>
      <c r="K34">
        <f t="shared" si="0"/>
        <v>1</v>
      </c>
      <c r="L34">
        <f t="shared" si="0"/>
        <v>1</v>
      </c>
      <c r="M34">
        <f t="shared" si="0"/>
        <v>0.5</v>
      </c>
      <c r="N34">
        <f t="shared" si="0"/>
        <v>0.5</v>
      </c>
      <c r="O34">
        <f t="shared" si="0"/>
        <v>1</v>
      </c>
      <c r="P34">
        <f t="shared" si="0"/>
        <v>0.5</v>
      </c>
      <c r="Q34">
        <f t="shared" si="0"/>
        <v>1</v>
      </c>
      <c r="R34">
        <f t="shared" si="0"/>
        <v>0.5</v>
      </c>
      <c r="S34">
        <f t="shared" si="0"/>
        <v>0</v>
      </c>
      <c r="T34">
        <f t="shared" si="0"/>
        <v>0.75</v>
      </c>
      <c r="U34">
        <f t="shared" si="0"/>
        <v>0.5</v>
      </c>
      <c r="V34">
        <f t="shared" si="0"/>
        <v>0.5</v>
      </c>
    </row>
    <row r="35" spans="1:23" x14ac:dyDescent="0.35">
      <c r="A35" s="3" t="s">
        <v>58</v>
      </c>
      <c r="B35" s="3" t="s">
        <v>59</v>
      </c>
      <c r="C35">
        <v>18</v>
      </c>
      <c r="D35">
        <v>4</v>
      </c>
      <c r="E35">
        <v>4</v>
      </c>
      <c r="F35">
        <v>4</v>
      </c>
      <c r="G35">
        <v>4</v>
      </c>
      <c r="H35">
        <v>1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0</v>
      </c>
      <c r="T35">
        <v>3</v>
      </c>
      <c r="U35">
        <v>4</v>
      </c>
      <c r="V35">
        <v>4</v>
      </c>
      <c r="W35">
        <f>SUMPRODUCT(D$3:$V$3,D35:V35)/4</f>
        <v>18.375</v>
      </c>
    </row>
    <row r="36" spans="1:23" x14ac:dyDescent="0.35">
      <c r="A36" s="3" t="s">
        <v>60</v>
      </c>
      <c r="B36" s="3" t="s">
        <v>61</v>
      </c>
      <c r="C36">
        <v>14</v>
      </c>
      <c r="D36">
        <v>4</v>
      </c>
      <c r="E36">
        <v>4</v>
      </c>
      <c r="F36">
        <v>4</v>
      </c>
      <c r="G36">
        <v>2</v>
      </c>
      <c r="H36">
        <v>4</v>
      </c>
      <c r="I36">
        <v>4</v>
      </c>
      <c r="J36">
        <v>2</v>
      </c>
      <c r="K36">
        <v>3</v>
      </c>
      <c r="L36">
        <v>4</v>
      </c>
      <c r="N36" s="4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1</v>
      </c>
      <c r="U36">
        <v>0</v>
      </c>
      <c r="V36">
        <v>0</v>
      </c>
      <c r="W36">
        <f>SUMPRODUCT(D$3:$V$3,D36:V36)/4</f>
        <v>13.75</v>
      </c>
    </row>
    <row r="37" spans="1:23" x14ac:dyDescent="0.35">
      <c r="A37" s="3" t="s">
        <v>62</v>
      </c>
      <c r="B37" s="3" t="s">
        <v>63</v>
      </c>
      <c r="C37">
        <v>14</v>
      </c>
      <c r="D37">
        <v>4</v>
      </c>
      <c r="E37">
        <v>4</v>
      </c>
      <c r="F37">
        <v>2</v>
      </c>
      <c r="G37">
        <v>3</v>
      </c>
      <c r="I37">
        <v>4</v>
      </c>
      <c r="J37">
        <v>4</v>
      </c>
      <c r="K37">
        <v>0</v>
      </c>
      <c r="L37">
        <v>0</v>
      </c>
      <c r="M37">
        <v>0</v>
      </c>
      <c r="N37">
        <v>4</v>
      </c>
      <c r="O37">
        <v>4</v>
      </c>
      <c r="P37">
        <v>4</v>
      </c>
      <c r="Q37">
        <v>4</v>
      </c>
      <c r="R37">
        <v>4</v>
      </c>
      <c r="T37">
        <v>4</v>
      </c>
      <c r="U37">
        <v>4</v>
      </c>
      <c r="V37">
        <v>2</v>
      </c>
      <c r="W37">
        <f>SUMPRODUCT(D$3:$V$3,D37:V37)/4</f>
        <v>13.75</v>
      </c>
    </row>
    <row r="38" spans="1:23" x14ac:dyDescent="0.35">
      <c r="A38" s="3" t="s">
        <v>64</v>
      </c>
      <c r="B38" s="3" t="s">
        <v>65</v>
      </c>
      <c r="C38">
        <v>19</v>
      </c>
      <c r="D38">
        <v>4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3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f>SUMPRODUCT(D$3:$V$3,D38:V38)/4</f>
        <v>19.5</v>
      </c>
    </row>
    <row r="39" spans="1:23" x14ac:dyDescent="0.35">
      <c r="A39" s="3" t="s">
        <v>66</v>
      </c>
      <c r="B39" s="3" t="s">
        <v>67</v>
      </c>
      <c r="C39">
        <v>18</v>
      </c>
      <c r="D39">
        <v>4</v>
      </c>
      <c r="E39">
        <v>4</v>
      </c>
      <c r="F39">
        <v>4</v>
      </c>
      <c r="G39">
        <v>4</v>
      </c>
      <c r="H39">
        <v>3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T39">
        <v>3</v>
      </c>
      <c r="U39">
        <v>4</v>
      </c>
      <c r="V39">
        <v>2</v>
      </c>
      <c r="W39">
        <f>SUMPRODUCT(D$3:$V$3,D39:V39)/4</f>
        <v>17.625</v>
      </c>
    </row>
    <row r="40" spans="1:23" x14ac:dyDescent="0.35">
      <c r="A40" s="3" t="s">
        <v>68</v>
      </c>
      <c r="B40" s="3" t="s">
        <v>69</v>
      </c>
      <c r="C40">
        <v>15</v>
      </c>
      <c r="D40">
        <v>4</v>
      </c>
      <c r="E40">
        <v>4</v>
      </c>
      <c r="F40">
        <v>4</v>
      </c>
      <c r="I40">
        <v>4</v>
      </c>
      <c r="J40">
        <v>4</v>
      </c>
      <c r="K40">
        <v>4</v>
      </c>
      <c r="L40">
        <v>4</v>
      </c>
      <c r="M40">
        <v>0</v>
      </c>
      <c r="N40">
        <v>4</v>
      </c>
      <c r="O40">
        <v>4</v>
      </c>
      <c r="P40">
        <v>4</v>
      </c>
      <c r="Q40">
        <v>4</v>
      </c>
      <c r="R40">
        <v>4</v>
      </c>
      <c r="S40">
        <v>3</v>
      </c>
      <c r="T40">
        <v>4</v>
      </c>
      <c r="U40">
        <v>2</v>
      </c>
      <c r="V40">
        <v>1</v>
      </c>
      <c r="W40">
        <f>SUMPRODUCT(D$3:$V$3,D40:V40)/4</f>
        <v>15.25</v>
      </c>
    </row>
    <row r="41" spans="1:23" x14ac:dyDescent="0.35">
      <c r="A41" s="3" t="s">
        <v>70</v>
      </c>
      <c r="B41" s="3" t="s">
        <v>71</v>
      </c>
      <c r="C41">
        <v>15</v>
      </c>
      <c r="D41">
        <v>4</v>
      </c>
      <c r="E41">
        <v>4</v>
      </c>
      <c r="F41">
        <v>4</v>
      </c>
      <c r="G41">
        <v>4</v>
      </c>
      <c r="H41">
        <v>2</v>
      </c>
      <c r="I41">
        <v>4</v>
      </c>
      <c r="J41">
        <v>3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3</v>
      </c>
      <c r="T41">
        <v>3</v>
      </c>
      <c r="U41">
        <v>1</v>
      </c>
      <c r="W41">
        <f>SUMPRODUCT(D$3:$V$3,D41:V41)/4</f>
        <v>15.25</v>
      </c>
    </row>
    <row r="42" spans="1:23" x14ac:dyDescent="0.35">
      <c r="A42" s="3" t="s">
        <v>72</v>
      </c>
      <c r="B42" s="3" t="s">
        <v>73</v>
      </c>
      <c r="C42">
        <v>15</v>
      </c>
      <c r="D42">
        <v>4</v>
      </c>
      <c r="E42">
        <v>4</v>
      </c>
      <c r="F42">
        <v>4</v>
      </c>
      <c r="G42">
        <v>2</v>
      </c>
      <c r="H42">
        <v>1</v>
      </c>
      <c r="I42">
        <v>4</v>
      </c>
      <c r="J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3</v>
      </c>
      <c r="T42">
        <v>4</v>
      </c>
      <c r="U42">
        <v>1</v>
      </c>
      <c r="V42">
        <v>0</v>
      </c>
      <c r="W42">
        <f>SUMPRODUCT(D$3:$V$3,D42:V42)/4</f>
        <v>15.125</v>
      </c>
    </row>
    <row r="43" spans="1:23" x14ac:dyDescent="0.35">
      <c r="A43" s="3" t="s">
        <v>74</v>
      </c>
      <c r="B43" s="3" t="s">
        <v>75</v>
      </c>
      <c r="C43">
        <v>16</v>
      </c>
      <c r="D43">
        <v>4</v>
      </c>
      <c r="E43">
        <v>4</v>
      </c>
      <c r="F43">
        <v>4</v>
      </c>
      <c r="G43">
        <v>4</v>
      </c>
      <c r="H43">
        <v>1</v>
      </c>
      <c r="I43">
        <v>4</v>
      </c>
      <c r="J43">
        <v>0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R43">
        <v>4</v>
      </c>
      <c r="T43">
        <v>3</v>
      </c>
      <c r="U43">
        <v>4</v>
      </c>
      <c r="V43">
        <v>4</v>
      </c>
      <c r="W43">
        <f>SUMPRODUCT(D$3:$V$3,D43:V43)/4</f>
        <v>15.875</v>
      </c>
    </row>
    <row r="44" spans="1:23" x14ac:dyDescent="0.35">
      <c r="A44" s="3" t="s">
        <v>76</v>
      </c>
      <c r="B44" s="3" t="s">
        <v>77</v>
      </c>
      <c r="C44">
        <v>12</v>
      </c>
      <c r="D44">
        <v>4</v>
      </c>
      <c r="E44">
        <v>4</v>
      </c>
      <c r="F44">
        <v>4</v>
      </c>
      <c r="G44">
        <v>0</v>
      </c>
      <c r="I44">
        <v>0</v>
      </c>
      <c r="J44">
        <v>4</v>
      </c>
      <c r="K44">
        <v>2</v>
      </c>
      <c r="L44">
        <v>4</v>
      </c>
      <c r="M44">
        <v>1</v>
      </c>
      <c r="N44">
        <v>2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1</v>
      </c>
      <c r="V44">
        <v>0</v>
      </c>
      <c r="W44">
        <f>SUMPRODUCT(D$3:$V$3,D44:V44)/4</f>
        <v>12</v>
      </c>
    </row>
    <row r="45" spans="1:23" x14ac:dyDescent="0.35">
      <c r="A45" s="3" t="s">
        <v>78</v>
      </c>
      <c r="B45" s="3" t="s">
        <v>79</v>
      </c>
      <c r="C45">
        <v>9</v>
      </c>
      <c r="D45">
        <v>4</v>
      </c>
      <c r="E45">
        <v>4</v>
      </c>
      <c r="F45">
        <v>4</v>
      </c>
      <c r="G45">
        <v>2</v>
      </c>
      <c r="H45">
        <v>2</v>
      </c>
      <c r="I45">
        <v>2</v>
      </c>
      <c r="J45">
        <v>2</v>
      </c>
      <c r="K45">
        <v>2</v>
      </c>
      <c r="L45">
        <v>4</v>
      </c>
      <c r="M45">
        <v>1</v>
      </c>
      <c r="N45">
        <v>1</v>
      </c>
      <c r="O45">
        <v>4</v>
      </c>
      <c r="P45">
        <v>4</v>
      </c>
      <c r="T45">
        <v>2</v>
      </c>
      <c r="W45">
        <f>SUMPRODUCT(D$3:$V$3,D45:V45)/4</f>
        <v>9</v>
      </c>
    </row>
    <row r="46" spans="1:23" x14ac:dyDescent="0.35">
      <c r="A46" s="3" t="s">
        <v>80</v>
      </c>
      <c r="B46" s="3" t="s">
        <v>81</v>
      </c>
      <c r="C46">
        <v>15</v>
      </c>
      <c r="D46">
        <v>4</v>
      </c>
      <c r="E46">
        <v>4</v>
      </c>
      <c r="F46">
        <v>4</v>
      </c>
      <c r="G46">
        <v>4</v>
      </c>
      <c r="H46">
        <v>1</v>
      </c>
      <c r="I46">
        <v>3</v>
      </c>
      <c r="J46">
        <v>2</v>
      </c>
      <c r="K46">
        <v>0</v>
      </c>
      <c r="L46">
        <v>3</v>
      </c>
      <c r="M46">
        <v>3</v>
      </c>
      <c r="N46">
        <v>4</v>
      </c>
      <c r="O46">
        <v>4</v>
      </c>
      <c r="P46">
        <v>4</v>
      </c>
      <c r="Q46">
        <v>4</v>
      </c>
      <c r="R46">
        <v>4</v>
      </c>
      <c r="T46">
        <v>4</v>
      </c>
      <c r="U46">
        <v>2</v>
      </c>
      <c r="V46">
        <v>3</v>
      </c>
      <c r="W46">
        <f>SUMPRODUCT(D$3:$V$3,D46:V46)/4</f>
        <v>15</v>
      </c>
    </row>
    <row r="47" spans="1:23" x14ac:dyDescent="0.35">
      <c r="A47" s="3" t="s">
        <v>82</v>
      </c>
      <c r="B47" s="3" t="s">
        <v>53</v>
      </c>
      <c r="C47">
        <v>8</v>
      </c>
      <c r="D47">
        <v>2</v>
      </c>
      <c r="E47">
        <v>4</v>
      </c>
      <c r="F47">
        <v>4</v>
      </c>
      <c r="G47">
        <v>4</v>
      </c>
      <c r="H47">
        <v>1</v>
      </c>
      <c r="I47">
        <v>4</v>
      </c>
      <c r="J47">
        <v>4</v>
      </c>
      <c r="O47">
        <v>4</v>
      </c>
      <c r="Q47">
        <v>4</v>
      </c>
      <c r="T47">
        <v>1</v>
      </c>
      <c r="W47">
        <f>SUMPRODUCT(D$3:$V$3,D47:V47)/4</f>
        <v>8.375</v>
      </c>
    </row>
    <row r="48" spans="1:23" x14ac:dyDescent="0.35">
      <c r="A48" s="3" t="s">
        <v>83</v>
      </c>
      <c r="B48" s="3" t="s">
        <v>84</v>
      </c>
      <c r="C48">
        <v>20</v>
      </c>
      <c r="D48">
        <v>4</v>
      </c>
      <c r="E48">
        <v>4</v>
      </c>
      <c r="F48">
        <v>4</v>
      </c>
      <c r="G48">
        <v>4</v>
      </c>
      <c r="H48">
        <v>1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f>SUMPRODUCT(D$3:$V$3,D48:V48)/4</f>
        <v>19.625</v>
      </c>
    </row>
    <row r="49" spans="1:23" x14ac:dyDescent="0.35">
      <c r="A49" s="3" t="s">
        <v>85</v>
      </c>
      <c r="B49" s="3" t="s">
        <v>86</v>
      </c>
      <c r="C49">
        <v>17</v>
      </c>
      <c r="D49">
        <v>4</v>
      </c>
      <c r="E49">
        <v>4</v>
      </c>
      <c r="F49">
        <v>4</v>
      </c>
      <c r="G49">
        <v>4</v>
      </c>
      <c r="I49">
        <v>4</v>
      </c>
      <c r="J49">
        <v>4</v>
      </c>
      <c r="K49">
        <v>4</v>
      </c>
      <c r="L49">
        <v>4</v>
      </c>
      <c r="N49">
        <v>3</v>
      </c>
      <c r="O49">
        <v>4</v>
      </c>
      <c r="P49">
        <v>4</v>
      </c>
      <c r="Q49">
        <v>4</v>
      </c>
      <c r="R49">
        <v>4</v>
      </c>
      <c r="S49">
        <v>2</v>
      </c>
      <c r="T49">
        <v>2</v>
      </c>
      <c r="U49">
        <v>4</v>
      </c>
      <c r="V49">
        <v>4</v>
      </c>
      <c r="W49">
        <f>SUMPRODUCT(D$3:$V$3,D49:V49)/4</f>
        <v>17</v>
      </c>
    </row>
    <row r="50" spans="1:23" x14ac:dyDescent="0.35">
      <c r="A50" s="3" t="s">
        <v>87</v>
      </c>
      <c r="B50" s="3" t="s">
        <v>88</v>
      </c>
      <c r="C50">
        <v>19</v>
      </c>
      <c r="D50">
        <v>4</v>
      </c>
      <c r="E50">
        <v>4</v>
      </c>
      <c r="F50">
        <v>4</v>
      </c>
      <c r="G50">
        <v>4</v>
      </c>
      <c r="H50">
        <v>2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2</v>
      </c>
      <c r="W50">
        <f>SUMPRODUCT(D$3:$V$3,D50:V50)/4</f>
        <v>18.75</v>
      </c>
    </row>
    <row r="51" spans="1:23" x14ac:dyDescent="0.35">
      <c r="A51" s="3" t="s">
        <v>89</v>
      </c>
      <c r="B51" s="3" t="s">
        <v>90</v>
      </c>
      <c r="C51">
        <v>15</v>
      </c>
      <c r="D51">
        <v>4</v>
      </c>
      <c r="E51">
        <v>4</v>
      </c>
      <c r="F51">
        <v>4</v>
      </c>
      <c r="G51">
        <v>4</v>
      </c>
      <c r="I51">
        <v>4</v>
      </c>
      <c r="J51">
        <v>4</v>
      </c>
      <c r="K51">
        <v>0</v>
      </c>
      <c r="L51">
        <v>4</v>
      </c>
      <c r="M51">
        <v>1</v>
      </c>
      <c r="N51">
        <v>3</v>
      </c>
      <c r="O51">
        <v>4</v>
      </c>
      <c r="P51">
        <v>4</v>
      </c>
      <c r="Q51">
        <v>4</v>
      </c>
      <c r="R51">
        <v>4</v>
      </c>
      <c r="S51">
        <v>1</v>
      </c>
      <c r="T51">
        <v>2</v>
      </c>
      <c r="U51">
        <v>1</v>
      </c>
      <c r="V51">
        <v>4</v>
      </c>
      <c r="W51">
        <f>SUMPRODUCT(D$3:$V$3,D51:V51)/4</f>
        <v>15.25</v>
      </c>
    </row>
    <row r="52" spans="1:23" x14ac:dyDescent="0.35">
      <c r="A52" s="3" t="s">
        <v>91</v>
      </c>
      <c r="B52" s="3" t="s">
        <v>92</v>
      </c>
      <c r="C52">
        <v>18</v>
      </c>
      <c r="D52">
        <v>4</v>
      </c>
      <c r="E52">
        <v>4</v>
      </c>
      <c r="F52">
        <v>4</v>
      </c>
      <c r="G52">
        <v>4</v>
      </c>
      <c r="H52">
        <v>2</v>
      </c>
      <c r="I52">
        <v>4</v>
      </c>
      <c r="J52">
        <v>3</v>
      </c>
      <c r="K52">
        <v>3</v>
      </c>
      <c r="L52">
        <v>4</v>
      </c>
      <c r="M52">
        <v>4</v>
      </c>
      <c r="N52">
        <v>4</v>
      </c>
      <c r="O52">
        <v>4</v>
      </c>
      <c r="P52">
        <v>4</v>
      </c>
      <c r="Q52">
        <v>4</v>
      </c>
      <c r="R52">
        <v>4</v>
      </c>
      <c r="S52">
        <v>4</v>
      </c>
      <c r="T52">
        <v>4</v>
      </c>
      <c r="U52">
        <v>2</v>
      </c>
      <c r="V52">
        <v>2</v>
      </c>
      <c r="W52">
        <f>SUMPRODUCT(D$3:$V$3,D52:V52)/4</f>
        <v>17.625</v>
      </c>
    </row>
    <row r="53" spans="1:23" x14ac:dyDescent="0.35">
      <c r="A53" s="3" t="s">
        <v>93</v>
      </c>
      <c r="B53" s="3" t="s">
        <v>94</v>
      </c>
      <c r="C53">
        <v>15</v>
      </c>
      <c r="D53">
        <v>4</v>
      </c>
      <c r="E53">
        <v>4</v>
      </c>
      <c r="F53">
        <v>4</v>
      </c>
      <c r="G53">
        <v>4</v>
      </c>
      <c r="I53">
        <v>4</v>
      </c>
      <c r="J53">
        <v>4</v>
      </c>
      <c r="K53">
        <v>4</v>
      </c>
      <c r="L53">
        <v>4</v>
      </c>
      <c r="N53">
        <v>4</v>
      </c>
      <c r="O53">
        <v>4</v>
      </c>
      <c r="P53">
        <v>4</v>
      </c>
      <c r="Q53">
        <v>4</v>
      </c>
      <c r="R53">
        <v>4</v>
      </c>
      <c r="T53">
        <v>4</v>
      </c>
      <c r="U53">
        <v>2</v>
      </c>
      <c r="V53">
        <v>1</v>
      </c>
      <c r="W53">
        <f>SUMPRODUCT(D$3:$V$3,D53:V53)/4</f>
        <v>15.5</v>
      </c>
    </row>
    <row r="54" spans="1:23" x14ac:dyDescent="0.35">
      <c r="A54" s="3" t="s">
        <v>95</v>
      </c>
      <c r="B54" s="3" t="s">
        <v>96</v>
      </c>
      <c r="C54">
        <v>17</v>
      </c>
      <c r="D54">
        <v>4</v>
      </c>
      <c r="E54">
        <v>4</v>
      </c>
      <c r="F54">
        <v>4</v>
      </c>
      <c r="G54">
        <v>4</v>
      </c>
      <c r="I54">
        <v>4</v>
      </c>
      <c r="J54">
        <v>4</v>
      </c>
      <c r="L54">
        <v>4</v>
      </c>
      <c r="M54">
        <v>4</v>
      </c>
      <c r="N54">
        <v>2</v>
      </c>
      <c r="O54">
        <v>3</v>
      </c>
      <c r="P54">
        <v>4</v>
      </c>
      <c r="Q54">
        <v>4</v>
      </c>
      <c r="R54">
        <v>4</v>
      </c>
      <c r="S54">
        <v>4</v>
      </c>
      <c r="T54">
        <v>2</v>
      </c>
      <c r="U54">
        <v>4</v>
      </c>
      <c r="V54">
        <v>4</v>
      </c>
      <c r="W54">
        <f>SUMPRODUCT(D$3:$V$3,D54:V54)/4</f>
        <v>16.75</v>
      </c>
    </row>
    <row r="55" spans="1:23" x14ac:dyDescent="0.35">
      <c r="A55" s="3" t="s">
        <v>97</v>
      </c>
      <c r="B55" s="3" t="s">
        <v>98</v>
      </c>
      <c r="C55">
        <v>19</v>
      </c>
      <c r="D55">
        <v>4</v>
      </c>
      <c r="E55">
        <v>4</v>
      </c>
      <c r="F55">
        <v>4</v>
      </c>
      <c r="G55">
        <v>4</v>
      </c>
      <c r="H55">
        <v>3</v>
      </c>
      <c r="I55">
        <v>4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2</v>
      </c>
      <c r="V55">
        <v>4</v>
      </c>
      <c r="W55">
        <f>SUMPRODUCT(D$3:$V$3,D55:V55)/4</f>
        <v>19.375</v>
      </c>
    </row>
    <row r="56" spans="1:23" x14ac:dyDescent="0.35">
      <c r="A56" s="3" t="s">
        <v>99</v>
      </c>
      <c r="B56" s="3" t="s">
        <v>100</v>
      </c>
      <c r="C56">
        <v>16</v>
      </c>
      <c r="D56">
        <v>4</v>
      </c>
      <c r="E56">
        <v>4</v>
      </c>
      <c r="F56">
        <v>4</v>
      </c>
      <c r="G56">
        <v>4</v>
      </c>
      <c r="I56">
        <v>4</v>
      </c>
      <c r="J56">
        <v>2</v>
      </c>
      <c r="K56">
        <v>4</v>
      </c>
      <c r="L56">
        <v>4</v>
      </c>
      <c r="M56">
        <v>4</v>
      </c>
      <c r="N56">
        <v>4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2</v>
      </c>
      <c r="W56">
        <f>SUMPRODUCT(D$3:$V$3,D56:V56)/4</f>
        <v>16.25</v>
      </c>
    </row>
    <row r="57" spans="1:23" x14ac:dyDescent="0.35">
      <c r="A57" s="3" t="s">
        <v>101</v>
      </c>
      <c r="B57" s="3" t="s">
        <v>102</v>
      </c>
      <c r="C57">
        <v>17</v>
      </c>
      <c r="D57">
        <v>4</v>
      </c>
      <c r="E57">
        <v>4</v>
      </c>
      <c r="F57">
        <v>4</v>
      </c>
      <c r="G57">
        <v>2</v>
      </c>
      <c r="H57">
        <v>4</v>
      </c>
      <c r="I57">
        <v>4</v>
      </c>
      <c r="J57">
        <v>4</v>
      </c>
      <c r="K57">
        <v>4</v>
      </c>
      <c r="L57">
        <v>4</v>
      </c>
      <c r="N57">
        <v>4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4</v>
      </c>
      <c r="V57">
        <v>2</v>
      </c>
      <c r="W57">
        <f>SUMPRODUCT(D$3:$V$3,D57:V57)/4</f>
        <v>17.5</v>
      </c>
    </row>
    <row r="58" spans="1:23" x14ac:dyDescent="0.35">
      <c r="A58" s="3" t="s">
        <v>103</v>
      </c>
      <c r="B58" s="3" t="s">
        <v>104</v>
      </c>
      <c r="C58">
        <v>18</v>
      </c>
      <c r="D58">
        <v>4</v>
      </c>
      <c r="E58">
        <v>4</v>
      </c>
      <c r="F58">
        <v>4</v>
      </c>
      <c r="G58">
        <v>4</v>
      </c>
      <c r="I58">
        <v>4</v>
      </c>
      <c r="J58">
        <v>4</v>
      </c>
      <c r="K58">
        <v>4</v>
      </c>
      <c r="L58">
        <v>3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2</v>
      </c>
      <c r="W58">
        <f>SUMPRODUCT(D$3:$V$3,D58:V58)/4</f>
        <v>18.25</v>
      </c>
    </row>
    <row r="59" spans="1:23" x14ac:dyDescent="0.35">
      <c r="A59" s="3" t="s">
        <v>105</v>
      </c>
      <c r="B59" s="3" t="s">
        <v>106</v>
      </c>
      <c r="C59">
        <v>16</v>
      </c>
      <c r="D59">
        <v>4</v>
      </c>
      <c r="E59">
        <v>4</v>
      </c>
      <c r="F59">
        <v>4</v>
      </c>
      <c r="G59">
        <v>4</v>
      </c>
      <c r="I59">
        <v>4</v>
      </c>
      <c r="J59">
        <v>4</v>
      </c>
      <c r="L59">
        <v>4</v>
      </c>
      <c r="M59">
        <v>4</v>
      </c>
      <c r="N59">
        <v>1</v>
      </c>
      <c r="O59">
        <v>4</v>
      </c>
      <c r="P59">
        <v>4</v>
      </c>
      <c r="Q59">
        <v>4</v>
      </c>
      <c r="R59">
        <v>4</v>
      </c>
      <c r="S59">
        <v>4</v>
      </c>
      <c r="T59">
        <v>2</v>
      </c>
      <c r="U59">
        <v>4</v>
      </c>
      <c r="V59">
        <v>4</v>
      </c>
      <c r="W59">
        <f>SUMPRODUCT(D$3:$V$3,D59:V59)/4</f>
        <v>16.5</v>
      </c>
    </row>
    <row r="60" spans="1:23" x14ac:dyDescent="0.35">
      <c r="A60" s="3" t="s">
        <v>107</v>
      </c>
      <c r="B60" s="3" t="s">
        <v>69</v>
      </c>
      <c r="C60">
        <v>11</v>
      </c>
      <c r="D60">
        <v>4</v>
      </c>
      <c r="E60">
        <v>4</v>
      </c>
      <c r="F60">
        <v>4</v>
      </c>
      <c r="G60">
        <v>4</v>
      </c>
      <c r="I60">
        <v>4</v>
      </c>
      <c r="K60">
        <v>4</v>
      </c>
      <c r="L60">
        <v>4</v>
      </c>
      <c r="M60">
        <v>4</v>
      </c>
      <c r="O60">
        <v>4</v>
      </c>
      <c r="P60">
        <v>4</v>
      </c>
      <c r="T60">
        <v>2</v>
      </c>
      <c r="U60">
        <v>1</v>
      </c>
      <c r="V60">
        <v>1</v>
      </c>
      <c r="W60">
        <f>SUMPRODUCT(D$3:$V$3,D60:V60)/4</f>
        <v>10.75</v>
      </c>
    </row>
    <row r="61" spans="1:23" x14ac:dyDescent="0.35">
      <c r="A61" s="3" t="s">
        <v>108</v>
      </c>
      <c r="B61" s="3" t="s">
        <v>109</v>
      </c>
      <c r="C61">
        <v>18</v>
      </c>
      <c r="D61">
        <v>4</v>
      </c>
      <c r="E61">
        <v>4</v>
      </c>
      <c r="F61">
        <v>4</v>
      </c>
      <c r="G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4</v>
      </c>
      <c r="O61">
        <v>4</v>
      </c>
      <c r="P61">
        <v>4</v>
      </c>
      <c r="Q61">
        <v>4</v>
      </c>
      <c r="R61">
        <v>4</v>
      </c>
      <c r="S61">
        <v>4</v>
      </c>
      <c r="T61">
        <v>2</v>
      </c>
      <c r="U61">
        <v>2</v>
      </c>
      <c r="V61">
        <v>4</v>
      </c>
      <c r="W61">
        <f>SUMPRODUCT(D$3:$V$3,D61:V61)/4</f>
        <v>18.5</v>
      </c>
    </row>
    <row r="62" spans="1:23" x14ac:dyDescent="0.35">
      <c r="A62" s="3" t="s">
        <v>110</v>
      </c>
      <c r="B62" s="3" t="s">
        <v>111</v>
      </c>
      <c r="C62">
        <v>16</v>
      </c>
      <c r="D62">
        <v>4</v>
      </c>
      <c r="E62">
        <v>4</v>
      </c>
      <c r="F62">
        <v>4</v>
      </c>
      <c r="G62">
        <v>4</v>
      </c>
      <c r="I62">
        <v>4</v>
      </c>
      <c r="J62">
        <v>4</v>
      </c>
      <c r="L62">
        <v>4</v>
      </c>
      <c r="M62">
        <v>1</v>
      </c>
      <c r="N62">
        <v>4</v>
      </c>
      <c r="O62">
        <v>4</v>
      </c>
      <c r="P62">
        <v>4</v>
      </c>
      <c r="Q62">
        <v>4</v>
      </c>
      <c r="R62">
        <v>4</v>
      </c>
      <c r="S62">
        <v>4</v>
      </c>
      <c r="T62">
        <v>2</v>
      </c>
      <c r="U62">
        <v>4</v>
      </c>
      <c r="V62">
        <v>2</v>
      </c>
      <c r="W62">
        <f>SUMPRODUCT(D$3:$V$3,D62:V62)/4</f>
        <v>16.25</v>
      </c>
    </row>
    <row r="63" spans="1:23" x14ac:dyDescent="0.35">
      <c r="A63" s="3" t="s">
        <v>112</v>
      </c>
      <c r="B63" s="3" t="s">
        <v>113</v>
      </c>
      <c r="C63">
        <v>19</v>
      </c>
      <c r="D63">
        <v>4</v>
      </c>
      <c r="E63">
        <v>4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2</v>
      </c>
      <c r="U63">
        <v>4</v>
      </c>
      <c r="V63">
        <v>4</v>
      </c>
      <c r="W63">
        <f>SUMPRODUCT(D$3:$V$3,D63:V63)/4</f>
        <v>19.5</v>
      </c>
    </row>
    <row r="64" spans="1:23" x14ac:dyDescent="0.35">
      <c r="A64" s="3" t="s">
        <v>114</v>
      </c>
      <c r="B64" s="3" t="s">
        <v>115</v>
      </c>
      <c r="C64">
        <v>12</v>
      </c>
      <c r="D64">
        <v>4</v>
      </c>
      <c r="E64">
        <v>4</v>
      </c>
      <c r="F64">
        <v>4</v>
      </c>
      <c r="I64">
        <v>1</v>
      </c>
      <c r="J64">
        <v>4</v>
      </c>
      <c r="L64">
        <v>4</v>
      </c>
      <c r="N64">
        <v>4</v>
      </c>
      <c r="O64">
        <v>4</v>
      </c>
      <c r="P64">
        <v>4</v>
      </c>
      <c r="Q64">
        <v>4</v>
      </c>
      <c r="R64">
        <v>4</v>
      </c>
      <c r="T64">
        <v>2</v>
      </c>
      <c r="U64">
        <v>2</v>
      </c>
      <c r="V64">
        <v>2</v>
      </c>
      <c r="W64">
        <f>SUMPRODUCT(D$3:$V$3,D64:V64)/4</f>
        <v>12.375</v>
      </c>
    </row>
    <row r="65" spans="1:23" x14ac:dyDescent="0.35">
      <c r="A65" s="3" t="s">
        <v>116</v>
      </c>
      <c r="B65" s="3" t="s">
        <v>117</v>
      </c>
      <c r="C65">
        <v>19</v>
      </c>
      <c r="D65">
        <v>4</v>
      </c>
      <c r="E65">
        <v>4</v>
      </c>
      <c r="F65">
        <v>4</v>
      </c>
      <c r="G65">
        <v>4</v>
      </c>
      <c r="H65">
        <v>2</v>
      </c>
      <c r="I65">
        <v>4</v>
      </c>
      <c r="J65">
        <v>4</v>
      </c>
      <c r="K65">
        <v>4</v>
      </c>
      <c r="L65">
        <v>4</v>
      </c>
      <c r="M65">
        <v>4</v>
      </c>
      <c r="N65">
        <v>4</v>
      </c>
      <c r="O65">
        <v>4</v>
      </c>
      <c r="P65">
        <v>4</v>
      </c>
      <c r="Q65">
        <v>4</v>
      </c>
      <c r="R65">
        <v>4</v>
      </c>
      <c r="S65">
        <v>4</v>
      </c>
      <c r="U65">
        <v>4</v>
      </c>
      <c r="V65">
        <v>4</v>
      </c>
      <c r="W65">
        <f>SUMPRODUCT(D$3:$V$3,D65:V65)/4</f>
        <v>18.75</v>
      </c>
    </row>
    <row r="66" spans="1:23" x14ac:dyDescent="0.35">
      <c r="A66" s="3" t="s">
        <v>118</v>
      </c>
      <c r="B66" s="3" t="s">
        <v>119</v>
      </c>
      <c r="C66">
        <v>17</v>
      </c>
      <c r="D66">
        <v>4</v>
      </c>
      <c r="E66">
        <v>4</v>
      </c>
      <c r="F66">
        <v>4</v>
      </c>
      <c r="G66">
        <v>4</v>
      </c>
      <c r="H66">
        <v>2</v>
      </c>
      <c r="I66">
        <v>3</v>
      </c>
      <c r="J66">
        <v>4</v>
      </c>
      <c r="K66">
        <v>4</v>
      </c>
      <c r="L66">
        <v>4</v>
      </c>
      <c r="M66">
        <v>4</v>
      </c>
      <c r="N66">
        <v>4</v>
      </c>
      <c r="O66">
        <v>4</v>
      </c>
      <c r="P66">
        <v>4</v>
      </c>
      <c r="Q66">
        <v>4</v>
      </c>
      <c r="R66">
        <v>4</v>
      </c>
      <c r="T66">
        <v>2</v>
      </c>
      <c r="U66">
        <v>2</v>
      </c>
      <c r="V66">
        <v>4</v>
      </c>
      <c r="W66">
        <f>SUMPRODUCT(D$3:$V$3,D66:V66)/4</f>
        <v>17.375</v>
      </c>
    </row>
    <row r="67" spans="1:23" x14ac:dyDescent="0.35">
      <c r="A67" s="3" t="s">
        <v>120</v>
      </c>
      <c r="B67" s="3" t="s">
        <v>63</v>
      </c>
      <c r="C67">
        <v>17</v>
      </c>
      <c r="D67">
        <v>4</v>
      </c>
      <c r="E67">
        <v>4</v>
      </c>
      <c r="F67">
        <v>4</v>
      </c>
      <c r="G67">
        <v>4</v>
      </c>
      <c r="I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3</v>
      </c>
      <c r="T67">
        <v>2</v>
      </c>
      <c r="U67">
        <v>2</v>
      </c>
      <c r="V67">
        <v>4</v>
      </c>
      <c r="W67">
        <f>SUMPRODUCT(D$3:$V$3,D67:V67)/4</f>
        <v>16.75</v>
      </c>
    </row>
    <row r="68" spans="1:23" x14ac:dyDescent="0.35">
      <c r="A68" s="3" t="s">
        <v>120</v>
      </c>
      <c r="B68" s="3" t="s">
        <v>121</v>
      </c>
      <c r="C68">
        <v>13</v>
      </c>
      <c r="D68">
        <v>4</v>
      </c>
      <c r="E68">
        <v>4</v>
      </c>
      <c r="F68">
        <v>4</v>
      </c>
      <c r="G68">
        <v>4</v>
      </c>
      <c r="I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2</v>
      </c>
      <c r="W68">
        <f>SUMPRODUCT(D$3:$V$3,D68:V68)/4</f>
        <v>13.5</v>
      </c>
    </row>
    <row r="69" spans="1:23" x14ac:dyDescent="0.35">
      <c r="A69" s="3" t="s">
        <v>122</v>
      </c>
      <c r="B69" s="3" t="s">
        <v>123</v>
      </c>
      <c r="C69">
        <v>16</v>
      </c>
      <c r="D69">
        <v>4</v>
      </c>
      <c r="E69">
        <v>4</v>
      </c>
      <c r="F69">
        <v>4</v>
      </c>
      <c r="G69">
        <v>4</v>
      </c>
      <c r="H69">
        <v>4</v>
      </c>
      <c r="I69">
        <v>4</v>
      </c>
      <c r="J69">
        <v>4</v>
      </c>
      <c r="L69">
        <v>4</v>
      </c>
      <c r="M69">
        <v>4</v>
      </c>
      <c r="O69">
        <v>4</v>
      </c>
      <c r="P69">
        <v>4</v>
      </c>
      <c r="Q69">
        <v>4</v>
      </c>
      <c r="R69">
        <v>4</v>
      </c>
      <c r="S69">
        <v>2</v>
      </c>
      <c r="T69">
        <v>2</v>
      </c>
      <c r="U69">
        <v>4</v>
      </c>
      <c r="V69">
        <v>4</v>
      </c>
      <c r="W69">
        <f>SUMPRODUCT(D$3:$V$3,D69:V69)/4</f>
        <v>16</v>
      </c>
    </row>
    <row r="70" spans="1:23" x14ac:dyDescent="0.35"/>
    <row r="71" spans="1:23" x14ac:dyDescent="0.35"/>
    <row r="72" spans="1:23" x14ac:dyDescent="0.35"/>
    <row r="73" spans="1:23" x14ac:dyDescent="0.35"/>
    <row r="74" spans="1:23" x14ac:dyDescent="0.35"/>
    <row r="75" spans="1:23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BERGER Maxime</dc:creator>
  <cp:keywords/>
  <dc:description/>
  <cp:lastModifiedBy>BERGER Maxime</cp:lastModifiedBy>
  <cp:revision/>
  <dcterms:created xsi:type="dcterms:W3CDTF">2015-06-05T18:17:20Z</dcterms:created>
  <dcterms:modified xsi:type="dcterms:W3CDTF">2026-01-30T14:00:57Z</dcterms:modified>
  <cp:category/>
  <cp:contentStatus/>
</cp:coreProperties>
</file>