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Projets/slides/ESTP/PGE1/S6/AnalyseNumerique/2025-2026/ExamVrai62/"/>
    </mc:Choice>
  </mc:AlternateContent>
  <xr:revisionPtr revIDLastSave="1168" documentId="11_F25DC773A252ABDACC1048FAE91D44005BDE58EE" xr6:coauthVersionLast="47" xr6:coauthVersionMax="47" xr10:uidLastSave="{5F186326-7E2A-44DA-AFC9-B6336F8D5D04}"/>
  <bookViews>
    <workbookView xWindow="-28920" yWindow="-120" windowWidth="29040" windowHeight="15720" activeTab="1" xr2:uid="{00000000-000D-0000-FFFF-FFFF00000000}"/>
  </bookViews>
  <sheets>
    <sheet name="Exam" sheetId="1" r:id="rId1"/>
    <sheet name="TP1" sheetId="3" r:id="rId2"/>
    <sheet name="TP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" i="3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5" i="1"/>
  <c r="V6" i="1"/>
  <c r="V7" i="1"/>
  <c r="V8" i="1"/>
  <c r="V9" i="1"/>
  <c r="V10" i="1"/>
  <c r="V11" i="1"/>
  <c r="V12" i="1"/>
  <c r="V13" i="1"/>
  <c r="V14" i="1"/>
  <c r="V15" i="1"/>
  <c r="V16" i="1"/>
  <c r="V4" i="1"/>
</calcChain>
</file>

<file path=xl/sharedStrings.xml><?xml version="1.0" encoding="utf-8"?>
<sst xmlns="http://schemas.openxmlformats.org/spreadsheetml/2006/main" count="472" uniqueCount="157">
  <si>
    <t>ADAM</t>
  </si>
  <si>
    <t>Camille</t>
  </si>
  <si>
    <t>ASDALI</t>
  </si>
  <si>
    <t>Léa</t>
  </si>
  <si>
    <t>BABEL</t>
  </si>
  <si>
    <t>Laurine</t>
  </si>
  <si>
    <t>BARBIERI</t>
  </si>
  <si>
    <t>Lucas</t>
  </si>
  <si>
    <t>BLANCHET</t>
  </si>
  <si>
    <t>Marin</t>
  </si>
  <si>
    <t>BOGHOSSIAN</t>
  </si>
  <si>
    <t>Nicolas</t>
  </si>
  <si>
    <t>BONTE</t>
  </si>
  <si>
    <t>Raphaël</t>
  </si>
  <si>
    <t>BORNE</t>
  </si>
  <si>
    <t>Bastien</t>
  </si>
  <si>
    <t>BRIAND</t>
  </si>
  <si>
    <t>Maëlle</t>
  </si>
  <si>
    <t>CHATELIER</t>
  </si>
  <si>
    <t>Ricarson</t>
  </si>
  <si>
    <t>COHEN</t>
  </si>
  <si>
    <t>Nathan</t>
  </si>
  <si>
    <t>DURAND</t>
  </si>
  <si>
    <t>Erwan</t>
  </si>
  <si>
    <t>EL KHATTABI</t>
  </si>
  <si>
    <t>Adil</t>
  </si>
  <si>
    <t>FABRE</t>
  </si>
  <si>
    <t>Hadrien</t>
  </si>
  <si>
    <t>FERRIÈRE</t>
  </si>
  <si>
    <t>Rémi</t>
  </si>
  <si>
    <t>FORNES</t>
  </si>
  <si>
    <t>Annabelle</t>
  </si>
  <si>
    <t>FOUCHART</t>
  </si>
  <si>
    <t>Mathis</t>
  </si>
  <si>
    <t>FURIC</t>
  </si>
  <si>
    <t>GALI</t>
  </si>
  <si>
    <t>Côme</t>
  </si>
  <si>
    <t>GENTIEN</t>
  </si>
  <si>
    <t>Clément</t>
  </si>
  <si>
    <t>GJURAJ</t>
  </si>
  <si>
    <t>Andrea</t>
  </si>
  <si>
    <t>GMILI</t>
  </si>
  <si>
    <t>Nacim</t>
  </si>
  <si>
    <t>GODIER</t>
  </si>
  <si>
    <t>Baptiste</t>
  </si>
  <si>
    <t>GOUY</t>
  </si>
  <si>
    <t>Ronan</t>
  </si>
  <si>
    <t>GRESSIER</t>
  </si>
  <si>
    <t>Théo</t>
  </si>
  <si>
    <t>GUILLAUBEY</t>
  </si>
  <si>
    <t>Louis-Ernest</t>
  </si>
  <si>
    <t>GUYENOT</t>
  </si>
  <si>
    <t>Noah</t>
  </si>
  <si>
    <t>HAJJI</t>
  </si>
  <si>
    <t>Aymane</t>
  </si>
  <si>
    <t>HAMITOUCHE</t>
  </si>
  <si>
    <t>Lena</t>
  </si>
  <si>
    <t>HUET</t>
  </si>
  <si>
    <t>Tom</t>
  </si>
  <si>
    <t>HUMBERT</t>
  </si>
  <si>
    <t>Apolline</t>
  </si>
  <si>
    <t>JÉGO</t>
  </si>
  <si>
    <t>Antoine</t>
  </si>
  <si>
    <t>JOUBERT</t>
  </si>
  <si>
    <t>Maxence</t>
  </si>
  <si>
    <t>KABLAN</t>
  </si>
  <si>
    <t>Ettiegne Lambert</t>
  </si>
  <si>
    <t>LACOMBE</t>
  </si>
  <si>
    <t>Alexis</t>
  </si>
  <si>
    <t>LEGEAY</t>
  </si>
  <si>
    <t>Léo-Paul</t>
  </si>
  <si>
    <t>LEMAN</t>
  </si>
  <si>
    <t>Aude</t>
  </si>
  <si>
    <t>MAEGHT</t>
  </si>
  <si>
    <t>Enzo</t>
  </si>
  <si>
    <t>MASSELOT</t>
  </si>
  <si>
    <t>MENANT</t>
  </si>
  <si>
    <t>Alex</t>
  </si>
  <si>
    <t>MEROUANE</t>
  </si>
  <si>
    <t>Massin</t>
  </si>
  <si>
    <t>MEUNIER</t>
  </si>
  <si>
    <t>Ariane</t>
  </si>
  <si>
    <t>MORGEN</t>
  </si>
  <si>
    <t>Jules</t>
  </si>
  <si>
    <t>NATO</t>
  </si>
  <si>
    <t>Grace Michaelle</t>
  </si>
  <si>
    <t>NOEL</t>
  </si>
  <si>
    <t>Luc</t>
  </si>
  <si>
    <t>NZONLANG</t>
  </si>
  <si>
    <t>Kamkuie</t>
  </si>
  <si>
    <t>OUSMAN AMADOU</t>
  </si>
  <si>
    <t>Mahmoud</t>
  </si>
  <si>
    <t>PARRAIN-COLOMBANI</t>
  </si>
  <si>
    <t>Mathieu</t>
  </si>
  <si>
    <t>PAVIOT</t>
  </si>
  <si>
    <t>Solène</t>
  </si>
  <si>
    <t>PIERLOT</t>
  </si>
  <si>
    <t>Fabien</t>
  </si>
  <si>
    <t>POURCEL</t>
  </si>
  <si>
    <t>Thibaud</t>
  </si>
  <si>
    <t>QUEDELHA</t>
  </si>
  <si>
    <t>SAVIGNONI</t>
  </si>
  <si>
    <t>Julien</t>
  </si>
  <si>
    <t>STEINMETZ</t>
  </si>
  <si>
    <t>Anthony</t>
  </si>
  <si>
    <t>TLILI</t>
  </si>
  <si>
    <t>Sofiane</t>
  </si>
  <si>
    <t>TORCHIO</t>
  </si>
  <si>
    <t>Manao</t>
  </si>
  <si>
    <t>VANEY</t>
  </si>
  <si>
    <t>Théophile</t>
  </si>
  <si>
    <t>VANOTTI</t>
  </si>
  <si>
    <t>Aaron</t>
  </si>
  <si>
    <t>VINCENT</t>
  </si>
  <si>
    <t>Guihlem</t>
  </si>
  <si>
    <t>ZHANG</t>
  </si>
  <si>
    <t>Eva Xiangxiang</t>
  </si>
  <si>
    <t>exo 1.1</t>
  </si>
  <si>
    <t>1.2</t>
  </si>
  <si>
    <t>1.3</t>
  </si>
  <si>
    <t>1.4</t>
  </si>
  <si>
    <t>1.5</t>
  </si>
  <si>
    <t>1.6</t>
  </si>
  <si>
    <t>exo 2.1</t>
  </si>
  <si>
    <t>2.2</t>
  </si>
  <si>
    <t>2.4</t>
  </si>
  <si>
    <t>2.5</t>
  </si>
  <si>
    <t>exo 3.1</t>
  </si>
  <si>
    <t>3.2</t>
  </si>
  <si>
    <t>3.3</t>
  </si>
  <si>
    <t>3.4</t>
  </si>
  <si>
    <t>exo 4.1</t>
  </si>
  <si>
    <t>4.2</t>
  </si>
  <si>
    <t>4.3</t>
  </si>
  <si>
    <t>4.4</t>
  </si>
  <si>
    <t>4.5</t>
  </si>
  <si>
    <t>NOM</t>
  </si>
  <si>
    <t>Prénom</t>
  </si>
  <si>
    <t>Colonne3</t>
  </si>
  <si>
    <t>1.1</t>
  </si>
  <si>
    <t>2.1</t>
  </si>
  <si>
    <t>2.3</t>
  </si>
  <si>
    <t>3.1</t>
  </si>
  <si>
    <t>4.1</t>
  </si>
  <si>
    <t>5.1</t>
  </si>
  <si>
    <t>5.2</t>
  </si>
  <si>
    <t>5.3</t>
  </si>
  <si>
    <t>Total</t>
  </si>
  <si>
    <t>rendu ?</t>
  </si>
  <si>
    <t>x</t>
  </si>
  <si>
    <t>?</t>
  </si>
  <si>
    <t>avec antoine</t>
  </si>
  <si>
    <t>TP1</t>
  </si>
  <si>
    <t>TP2</t>
  </si>
  <si>
    <t xml:space="preserve">Moyenne </t>
  </si>
  <si>
    <t>Exam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</si>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</sst>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workbookViewId="0">
      <pane ySplit="1" topLeftCell="A2" activePane="bottomLeft" state="frozen"/>
      <selection pane="bottomLeft" activeCell="W64" sqref="W4:W64"/>
    </sheetView>
  </sheetViews>
  <sheetFormatPr baseColWidth="10" defaultColWidth="9.1328125" defaultRowHeight="14.25" x14ac:dyDescent="0.45"/>
  <cols>
    <col min="2" max="2" width="11.59765625" customWidth="1"/>
    <col min="3" max="21" width="7.9296875" customWidth="1"/>
  </cols>
  <sheetData>
    <row r="1" spans="1:23" x14ac:dyDescent="0.45"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s="4" t="s">
        <v>122</v>
      </c>
      <c r="I1" t="s">
        <v>123</v>
      </c>
      <c r="J1" t="s">
        <v>124</v>
      </c>
      <c r="K1" t="s">
        <v>125</v>
      </c>
      <c r="L1" s="4" t="s">
        <v>126</v>
      </c>
      <c r="M1" t="s">
        <v>127</v>
      </c>
      <c r="N1" t="s">
        <v>128</v>
      </c>
      <c r="O1" t="s">
        <v>129</v>
      </c>
      <c r="P1" s="4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</row>
    <row r="2" spans="1:23" x14ac:dyDescent="0.45">
      <c r="C2">
        <v>2</v>
      </c>
      <c r="D2">
        <v>0.5</v>
      </c>
      <c r="E2">
        <v>1</v>
      </c>
      <c r="F2">
        <v>2</v>
      </c>
      <c r="G2">
        <v>0.5</v>
      </c>
      <c r="H2" s="4">
        <v>1</v>
      </c>
      <c r="I2">
        <v>0.5</v>
      </c>
      <c r="J2">
        <v>2</v>
      </c>
      <c r="K2">
        <v>2</v>
      </c>
      <c r="L2" s="4">
        <v>1.5</v>
      </c>
      <c r="M2">
        <v>0.5</v>
      </c>
      <c r="N2">
        <v>2</v>
      </c>
      <c r="O2">
        <v>2</v>
      </c>
      <c r="P2" s="4">
        <v>1.5</v>
      </c>
      <c r="Q2">
        <v>2</v>
      </c>
      <c r="R2">
        <v>2</v>
      </c>
      <c r="S2">
        <v>2</v>
      </c>
      <c r="T2">
        <v>2</v>
      </c>
      <c r="U2">
        <v>1</v>
      </c>
    </row>
    <row r="3" spans="1:23" x14ac:dyDescent="0.45">
      <c r="H3" s="4"/>
      <c r="L3" s="4"/>
      <c r="P3" s="4"/>
    </row>
    <row r="4" spans="1:23" x14ac:dyDescent="0.45">
      <c r="A4" s="1" t="s">
        <v>0</v>
      </c>
      <c r="B4" s="1" t="s">
        <v>1</v>
      </c>
      <c r="C4">
        <v>4</v>
      </c>
      <c r="D4">
        <v>4</v>
      </c>
      <c r="E4">
        <v>4</v>
      </c>
      <c r="F4">
        <v>1</v>
      </c>
      <c r="G4">
        <v>4</v>
      </c>
      <c r="H4" s="4">
        <v>2</v>
      </c>
      <c r="I4">
        <v>2</v>
      </c>
      <c r="J4">
        <v>4</v>
      </c>
      <c r="K4">
        <v>4</v>
      </c>
      <c r="L4" s="4">
        <v>1</v>
      </c>
      <c r="M4">
        <v>2</v>
      </c>
      <c r="N4">
        <v>0</v>
      </c>
      <c r="O4">
        <v>2</v>
      </c>
      <c r="P4" s="4">
        <v>3</v>
      </c>
      <c r="Q4">
        <v>4</v>
      </c>
      <c r="R4">
        <v>4</v>
      </c>
      <c r="S4">
        <v>4</v>
      </c>
      <c r="T4">
        <v>4</v>
      </c>
      <c r="U4">
        <v>4</v>
      </c>
      <c r="V4">
        <f>SUMPRODUCT(C4:U4,C$2:U$2)*20/(28*4)</f>
        <v>15</v>
      </c>
      <c r="W4">
        <v>15</v>
      </c>
    </row>
    <row r="5" spans="1:23" x14ac:dyDescent="0.45">
      <c r="A5" s="1" t="s">
        <v>2</v>
      </c>
      <c r="B5" s="1" t="s">
        <v>3</v>
      </c>
      <c r="C5">
        <v>4</v>
      </c>
      <c r="D5">
        <v>4</v>
      </c>
      <c r="E5">
        <v>4</v>
      </c>
      <c r="F5">
        <v>1</v>
      </c>
      <c r="G5">
        <v>2</v>
      </c>
      <c r="H5" s="4">
        <v>2</v>
      </c>
      <c r="I5">
        <v>1</v>
      </c>
      <c r="J5">
        <v>4</v>
      </c>
      <c r="K5">
        <v>4</v>
      </c>
      <c r="L5" s="4"/>
      <c r="M5">
        <v>4</v>
      </c>
      <c r="N5">
        <v>0</v>
      </c>
      <c r="O5">
        <v>2</v>
      </c>
      <c r="P5" s="4">
        <v>3</v>
      </c>
      <c r="Q5">
        <v>3</v>
      </c>
      <c r="R5">
        <v>4</v>
      </c>
      <c r="S5">
        <v>3</v>
      </c>
      <c r="T5">
        <v>4</v>
      </c>
      <c r="U5">
        <v>4</v>
      </c>
      <c r="V5">
        <f t="shared" ref="V5:V64" si="0">SUMPRODUCT(C5:U5,C$2:U$2)*20/(28*4)</f>
        <v>13.928571428571429</v>
      </c>
      <c r="W5">
        <v>14</v>
      </c>
    </row>
    <row r="6" spans="1:23" x14ac:dyDescent="0.45">
      <c r="A6" s="1" t="s">
        <v>4</v>
      </c>
      <c r="B6" s="1" t="s">
        <v>5</v>
      </c>
      <c r="C6">
        <v>4</v>
      </c>
      <c r="D6">
        <v>4</v>
      </c>
      <c r="E6">
        <v>4</v>
      </c>
      <c r="F6">
        <v>2</v>
      </c>
      <c r="G6">
        <v>2</v>
      </c>
      <c r="H6" s="4">
        <v>0</v>
      </c>
      <c r="I6">
        <v>4</v>
      </c>
      <c r="J6">
        <v>4</v>
      </c>
      <c r="K6">
        <v>4</v>
      </c>
      <c r="L6" s="4">
        <v>1</v>
      </c>
      <c r="M6">
        <v>4</v>
      </c>
      <c r="N6">
        <v>4</v>
      </c>
      <c r="O6">
        <v>3</v>
      </c>
      <c r="P6" s="4">
        <v>3</v>
      </c>
      <c r="Q6">
        <v>4</v>
      </c>
      <c r="R6">
        <v>4</v>
      </c>
      <c r="S6">
        <v>2</v>
      </c>
      <c r="T6">
        <v>1</v>
      </c>
      <c r="U6">
        <v>1</v>
      </c>
      <c r="V6">
        <f t="shared" si="0"/>
        <v>14.642857142857142</v>
      </c>
      <c r="W6">
        <v>15</v>
      </c>
    </row>
    <row r="7" spans="1:23" x14ac:dyDescent="0.45">
      <c r="A7" s="1" t="s">
        <v>6</v>
      </c>
      <c r="B7" s="2" t="s">
        <v>7</v>
      </c>
      <c r="C7">
        <v>4</v>
      </c>
      <c r="D7">
        <v>4</v>
      </c>
      <c r="E7">
        <v>2</v>
      </c>
      <c r="F7">
        <v>4</v>
      </c>
      <c r="G7">
        <v>4</v>
      </c>
      <c r="H7" s="4"/>
      <c r="I7">
        <v>1</v>
      </c>
      <c r="J7">
        <v>4</v>
      </c>
      <c r="K7">
        <v>4</v>
      </c>
      <c r="L7" s="4">
        <v>2</v>
      </c>
      <c r="M7">
        <v>2</v>
      </c>
      <c r="N7">
        <v>0</v>
      </c>
      <c r="P7" s="4">
        <v>0</v>
      </c>
      <c r="Q7">
        <v>2</v>
      </c>
      <c r="R7">
        <v>1</v>
      </c>
      <c r="S7">
        <v>3</v>
      </c>
      <c r="T7">
        <v>2</v>
      </c>
      <c r="U7">
        <v>2</v>
      </c>
      <c r="V7">
        <f t="shared" si="0"/>
        <v>10.803571428571429</v>
      </c>
      <c r="W7">
        <v>11</v>
      </c>
    </row>
    <row r="8" spans="1:23" x14ac:dyDescent="0.45">
      <c r="A8" s="3" t="s">
        <v>8</v>
      </c>
      <c r="B8" s="3" t="s">
        <v>9</v>
      </c>
      <c r="C8">
        <v>4</v>
      </c>
      <c r="D8">
        <v>4</v>
      </c>
      <c r="E8">
        <v>3</v>
      </c>
      <c r="F8">
        <v>2</v>
      </c>
      <c r="G8">
        <v>4</v>
      </c>
      <c r="H8" s="4"/>
      <c r="J8">
        <v>2</v>
      </c>
      <c r="L8" s="4">
        <v>1</v>
      </c>
      <c r="P8" s="4"/>
      <c r="V8">
        <f t="shared" si="0"/>
        <v>4.375</v>
      </c>
      <c r="W8">
        <v>4.5</v>
      </c>
    </row>
    <row r="9" spans="1:23" x14ac:dyDescent="0.45">
      <c r="A9" s="3" t="s">
        <v>10</v>
      </c>
      <c r="B9" s="3" t="s">
        <v>11</v>
      </c>
      <c r="C9">
        <v>2</v>
      </c>
      <c r="D9">
        <v>2</v>
      </c>
      <c r="F9">
        <v>1</v>
      </c>
      <c r="G9">
        <v>4</v>
      </c>
      <c r="H9" s="4"/>
      <c r="I9">
        <v>1</v>
      </c>
      <c r="J9">
        <v>4</v>
      </c>
      <c r="K9">
        <v>2</v>
      </c>
      <c r="L9" s="4"/>
      <c r="M9">
        <v>4</v>
      </c>
      <c r="N9">
        <v>1</v>
      </c>
      <c r="P9" s="4"/>
      <c r="Q9">
        <v>1</v>
      </c>
      <c r="R9">
        <v>0</v>
      </c>
      <c r="S9">
        <v>0</v>
      </c>
      <c r="V9">
        <f t="shared" si="0"/>
        <v>4.9107142857142856</v>
      </c>
      <c r="W9">
        <v>5</v>
      </c>
    </row>
    <row r="10" spans="1:23" x14ac:dyDescent="0.45">
      <c r="A10" s="3" t="s">
        <v>12</v>
      </c>
      <c r="B10" s="3" t="s">
        <v>13</v>
      </c>
      <c r="C10">
        <v>4</v>
      </c>
      <c r="D10">
        <v>4</v>
      </c>
      <c r="E10">
        <v>2</v>
      </c>
      <c r="F10">
        <v>2</v>
      </c>
      <c r="G10">
        <v>4</v>
      </c>
      <c r="H10" s="4"/>
      <c r="I10" s="5">
        <v>0</v>
      </c>
      <c r="J10">
        <v>4</v>
      </c>
      <c r="K10">
        <v>4</v>
      </c>
      <c r="L10" s="4"/>
      <c r="M10">
        <v>0</v>
      </c>
      <c r="P10" s="4"/>
      <c r="Q10">
        <v>3</v>
      </c>
      <c r="R10">
        <v>2</v>
      </c>
      <c r="S10">
        <v>1</v>
      </c>
      <c r="T10">
        <v>0</v>
      </c>
      <c r="U10">
        <v>2</v>
      </c>
      <c r="V10">
        <f t="shared" si="0"/>
        <v>8.5714285714285712</v>
      </c>
      <c r="W10">
        <v>8.5</v>
      </c>
    </row>
    <row r="11" spans="1:23" x14ac:dyDescent="0.45">
      <c r="A11" s="3" t="s">
        <v>14</v>
      </c>
      <c r="B11" s="3" t="s">
        <v>15</v>
      </c>
      <c r="C11">
        <v>4</v>
      </c>
      <c r="D11">
        <v>4</v>
      </c>
      <c r="E11">
        <v>4</v>
      </c>
      <c r="F11">
        <v>0</v>
      </c>
      <c r="G11">
        <v>4</v>
      </c>
      <c r="H11" s="4"/>
      <c r="I11">
        <v>1</v>
      </c>
      <c r="J11">
        <v>2</v>
      </c>
      <c r="L11" s="4">
        <v>0</v>
      </c>
      <c r="M11">
        <v>4</v>
      </c>
      <c r="P11" s="4"/>
      <c r="Q11">
        <v>3</v>
      </c>
      <c r="R11">
        <v>4</v>
      </c>
      <c r="S11">
        <v>3</v>
      </c>
      <c r="T11">
        <v>1</v>
      </c>
      <c r="U11">
        <v>1</v>
      </c>
      <c r="V11">
        <f t="shared" si="0"/>
        <v>8.125</v>
      </c>
      <c r="W11">
        <v>8</v>
      </c>
    </row>
    <row r="12" spans="1:23" x14ac:dyDescent="0.45">
      <c r="A12" s="3" t="s">
        <v>16</v>
      </c>
      <c r="B12" s="3" t="s">
        <v>17</v>
      </c>
      <c r="C12">
        <v>3</v>
      </c>
      <c r="E12">
        <v>4</v>
      </c>
      <c r="F12">
        <v>1</v>
      </c>
      <c r="G12">
        <v>0</v>
      </c>
      <c r="H12" s="4"/>
      <c r="J12">
        <v>4</v>
      </c>
      <c r="K12">
        <v>3</v>
      </c>
      <c r="L12" s="4"/>
      <c r="M12">
        <v>4</v>
      </c>
      <c r="N12">
        <v>4</v>
      </c>
      <c r="P12" s="4">
        <v>4</v>
      </c>
      <c r="Q12">
        <v>1</v>
      </c>
      <c r="R12">
        <v>1</v>
      </c>
      <c r="S12">
        <v>1</v>
      </c>
      <c r="V12">
        <f t="shared" si="0"/>
        <v>8.5714285714285712</v>
      </c>
      <c r="W12">
        <v>8.5</v>
      </c>
    </row>
    <row r="13" spans="1:23" x14ac:dyDescent="0.45">
      <c r="A13" s="3" t="s">
        <v>18</v>
      </c>
      <c r="B13" s="3" t="s">
        <v>19</v>
      </c>
      <c r="C13">
        <v>4</v>
      </c>
      <c r="D13">
        <v>4</v>
      </c>
      <c r="E13">
        <v>4</v>
      </c>
      <c r="G13">
        <v>4</v>
      </c>
      <c r="H13" s="4">
        <v>3</v>
      </c>
      <c r="J13">
        <v>4</v>
      </c>
      <c r="K13">
        <v>4</v>
      </c>
      <c r="L13" s="4"/>
      <c r="M13">
        <v>2</v>
      </c>
      <c r="P13" s="4"/>
      <c r="Q13">
        <v>3</v>
      </c>
      <c r="R13">
        <v>4</v>
      </c>
      <c r="S13">
        <v>4</v>
      </c>
      <c r="V13">
        <f t="shared" si="0"/>
        <v>10.357142857142858</v>
      </c>
      <c r="W13">
        <v>10</v>
      </c>
    </row>
    <row r="14" spans="1:23" x14ac:dyDescent="0.45">
      <c r="A14" s="3" t="s">
        <v>20</v>
      </c>
      <c r="B14" s="3" t="s">
        <v>21</v>
      </c>
      <c r="C14">
        <v>4</v>
      </c>
      <c r="D14">
        <v>3</v>
      </c>
      <c r="E14">
        <v>4</v>
      </c>
      <c r="F14">
        <v>3</v>
      </c>
      <c r="G14">
        <v>2</v>
      </c>
      <c r="H14" s="4"/>
      <c r="I14">
        <v>1</v>
      </c>
      <c r="J14">
        <v>4</v>
      </c>
      <c r="K14">
        <v>4</v>
      </c>
      <c r="L14" s="4">
        <v>2</v>
      </c>
      <c r="N14">
        <v>1</v>
      </c>
      <c r="P14" s="4">
        <v>4</v>
      </c>
      <c r="Q14">
        <v>3</v>
      </c>
      <c r="R14">
        <v>2</v>
      </c>
      <c r="S14">
        <v>2</v>
      </c>
      <c r="V14">
        <f t="shared" si="0"/>
        <v>11.071428571428571</v>
      </c>
      <c r="W14">
        <v>11</v>
      </c>
    </row>
    <row r="15" spans="1:23" x14ac:dyDescent="0.45">
      <c r="A15" s="3" t="s">
        <v>22</v>
      </c>
      <c r="B15" s="3" t="s">
        <v>23</v>
      </c>
      <c r="C15">
        <v>1</v>
      </c>
      <c r="D15">
        <v>3</v>
      </c>
      <c r="E15">
        <v>1</v>
      </c>
      <c r="F15">
        <v>1</v>
      </c>
      <c r="H15" s="4"/>
      <c r="J15">
        <v>3</v>
      </c>
      <c r="L15" s="4"/>
      <c r="M15">
        <v>4</v>
      </c>
      <c r="N15">
        <v>1</v>
      </c>
      <c r="P15" s="4"/>
      <c r="Q15">
        <v>3</v>
      </c>
      <c r="R15">
        <v>2</v>
      </c>
      <c r="V15">
        <f t="shared" si="0"/>
        <v>4.7321428571428568</v>
      </c>
      <c r="W15">
        <v>5</v>
      </c>
    </row>
    <row r="16" spans="1:23" x14ac:dyDescent="0.45">
      <c r="A16" s="3" t="s">
        <v>24</v>
      </c>
      <c r="B16" s="3" t="s">
        <v>25</v>
      </c>
      <c r="C16">
        <v>4</v>
      </c>
      <c r="D16">
        <v>4</v>
      </c>
      <c r="E16">
        <v>4</v>
      </c>
      <c r="F16">
        <v>2</v>
      </c>
      <c r="G16">
        <v>4</v>
      </c>
      <c r="H16" s="4">
        <v>4</v>
      </c>
      <c r="J16">
        <v>4</v>
      </c>
      <c r="K16">
        <v>2</v>
      </c>
      <c r="L16" s="4"/>
      <c r="P16" s="4"/>
      <c r="V16">
        <f t="shared" si="0"/>
        <v>6.4285714285714288</v>
      </c>
      <c r="W16">
        <v>6.5</v>
      </c>
    </row>
    <row r="17" spans="1:23" x14ac:dyDescent="0.45">
      <c r="A17" s="3" t="s">
        <v>26</v>
      </c>
      <c r="B17" s="3" t="s">
        <v>27</v>
      </c>
      <c r="C17">
        <v>4</v>
      </c>
      <c r="D17">
        <v>4</v>
      </c>
      <c r="E17">
        <v>4</v>
      </c>
      <c r="F17">
        <v>2</v>
      </c>
      <c r="G17">
        <v>2</v>
      </c>
      <c r="H17" s="4">
        <v>2</v>
      </c>
      <c r="I17">
        <v>1</v>
      </c>
      <c r="J17">
        <v>4</v>
      </c>
      <c r="K17">
        <v>3</v>
      </c>
      <c r="L17" s="4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4</v>
      </c>
      <c r="S17">
        <v>3</v>
      </c>
      <c r="T17" s="4">
        <v>1</v>
      </c>
      <c r="V17">
        <f t="shared" si="0"/>
        <v>9.8214285714285712</v>
      </c>
      <c r="W17">
        <v>10</v>
      </c>
    </row>
    <row r="18" spans="1:23" x14ac:dyDescent="0.45">
      <c r="A18" s="3" t="s">
        <v>28</v>
      </c>
      <c r="B18" s="3" t="s">
        <v>29</v>
      </c>
      <c r="C18">
        <v>4</v>
      </c>
      <c r="D18">
        <v>4</v>
      </c>
      <c r="E18">
        <v>4</v>
      </c>
      <c r="F18">
        <v>3</v>
      </c>
      <c r="G18">
        <v>4</v>
      </c>
      <c r="H18" s="4"/>
      <c r="J18">
        <v>4</v>
      </c>
      <c r="K18">
        <v>4</v>
      </c>
      <c r="L18" s="4"/>
      <c r="M18">
        <v>4</v>
      </c>
      <c r="N18">
        <v>1</v>
      </c>
      <c r="P18" s="4"/>
      <c r="Q18">
        <v>4</v>
      </c>
      <c r="R18">
        <v>4</v>
      </c>
      <c r="S18">
        <v>3</v>
      </c>
      <c r="V18">
        <f t="shared" si="0"/>
        <v>11.428571428571429</v>
      </c>
      <c r="W18">
        <v>11.5</v>
      </c>
    </row>
    <row r="19" spans="1:23" x14ac:dyDescent="0.45">
      <c r="A19" s="3" t="s">
        <v>30</v>
      </c>
      <c r="B19" s="3" t="s">
        <v>31</v>
      </c>
      <c r="C19">
        <v>4</v>
      </c>
      <c r="D19">
        <v>3</v>
      </c>
      <c r="E19">
        <v>2</v>
      </c>
      <c r="F19">
        <v>1</v>
      </c>
      <c r="G19">
        <v>2</v>
      </c>
      <c r="H19" s="4"/>
      <c r="I19">
        <v>3</v>
      </c>
      <c r="J19">
        <v>4</v>
      </c>
      <c r="K19">
        <v>4</v>
      </c>
      <c r="L19" s="4">
        <v>1</v>
      </c>
      <c r="M19">
        <v>4</v>
      </c>
      <c r="N19">
        <v>4</v>
      </c>
      <c r="O19">
        <v>3</v>
      </c>
      <c r="P19" s="4"/>
      <c r="Q19">
        <v>2</v>
      </c>
      <c r="R19">
        <v>4</v>
      </c>
      <c r="S19">
        <v>3</v>
      </c>
      <c r="V19">
        <f t="shared" si="0"/>
        <v>12.053571428571429</v>
      </c>
      <c r="W19">
        <v>12</v>
      </c>
    </row>
    <row r="20" spans="1:23" x14ac:dyDescent="0.45">
      <c r="A20" s="3" t="s">
        <v>32</v>
      </c>
      <c r="B20" s="3" t="s">
        <v>33</v>
      </c>
      <c r="C20">
        <v>4</v>
      </c>
      <c r="D20">
        <v>4</v>
      </c>
      <c r="E20">
        <v>4</v>
      </c>
      <c r="F20">
        <v>1</v>
      </c>
      <c r="G20">
        <v>3</v>
      </c>
      <c r="H20" s="4"/>
      <c r="I20">
        <v>1</v>
      </c>
      <c r="J20">
        <v>4</v>
      </c>
      <c r="K20">
        <v>4</v>
      </c>
      <c r="L20" s="4">
        <v>1</v>
      </c>
      <c r="M20">
        <v>4</v>
      </c>
      <c r="N20">
        <v>4</v>
      </c>
      <c r="O20">
        <v>3</v>
      </c>
      <c r="P20" s="4">
        <v>0</v>
      </c>
      <c r="Q20" s="5">
        <v>4</v>
      </c>
      <c r="R20">
        <v>4</v>
      </c>
      <c r="S20">
        <v>3</v>
      </c>
      <c r="T20">
        <v>4</v>
      </c>
      <c r="U20">
        <v>2</v>
      </c>
      <c r="V20">
        <f t="shared" si="0"/>
        <v>14.910714285714286</v>
      </c>
      <c r="W20">
        <v>15</v>
      </c>
    </row>
    <row r="21" spans="1:23" x14ac:dyDescent="0.45">
      <c r="A21" s="3" t="s">
        <v>34</v>
      </c>
      <c r="B21" s="3" t="s">
        <v>33</v>
      </c>
      <c r="C21">
        <v>4</v>
      </c>
      <c r="D21">
        <v>4</v>
      </c>
      <c r="E21">
        <v>4</v>
      </c>
      <c r="F21">
        <v>3</v>
      </c>
      <c r="G21">
        <v>4</v>
      </c>
      <c r="H21" s="4">
        <v>4</v>
      </c>
      <c r="I21">
        <v>4</v>
      </c>
      <c r="J21">
        <v>4</v>
      </c>
      <c r="K21">
        <v>4</v>
      </c>
      <c r="L21" s="4">
        <v>2</v>
      </c>
      <c r="M21">
        <v>4</v>
      </c>
      <c r="N21">
        <v>4</v>
      </c>
      <c r="O21">
        <v>4</v>
      </c>
      <c r="P21" s="4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f t="shared" si="0"/>
        <v>19.107142857142858</v>
      </c>
      <c r="W21">
        <v>19</v>
      </c>
    </row>
    <row r="22" spans="1:23" x14ac:dyDescent="0.45">
      <c r="A22" s="3" t="s">
        <v>35</v>
      </c>
      <c r="B22" s="3" t="s">
        <v>36</v>
      </c>
      <c r="C22">
        <v>4</v>
      </c>
      <c r="D22">
        <v>4</v>
      </c>
      <c r="E22">
        <v>4</v>
      </c>
      <c r="F22">
        <v>1</v>
      </c>
      <c r="G22">
        <v>4</v>
      </c>
      <c r="H22" s="4">
        <v>4</v>
      </c>
      <c r="I22">
        <v>1</v>
      </c>
      <c r="J22">
        <v>4</v>
      </c>
      <c r="K22">
        <v>4</v>
      </c>
      <c r="L22" s="4">
        <v>2</v>
      </c>
      <c r="M22">
        <v>4</v>
      </c>
      <c r="N22">
        <v>4</v>
      </c>
      <c r="O22">
        <v>4</v>
      </c>
      <c r="P22" s="4">
        <v>1</v>
      </c>
      <c r="Q22">
        <v>4</v>
      </c>
      <c r="S22">
        <v>4</v>
      </c>
      <c r="T22">
        <v>4</v>
      </c>
      <c r="U22">
        <v>1</v>
      </c>
      <c r="V22">
        <f t="shared" si="0"/>
        <v>15.357142857142858</v>
      </c>
      <c r="W22">
        <v>15</v>
      </c>
    </row>
    <row r="23" spans="1:23" x14ac:dyDescent="0.45">
      <c r="A23" s="3" t="s">
        <v>37</v>
      </c>
      <c r="B23" s="3" t="s">
        <v>38</v>
      </c>
      <c r="C23">
        <v>4</v>
      </c>
      <c r="D23">
        <v>4</v>
      </c>
      <c r="E23">
        <v>4</v>
      </c>
      <c r="F23">
        <v>0</v>
      </c>
      <c r="G23">
        <v>4</v>
      </c>
      <c r="H23" s="4">
        <v>4</v>
      </c>
      <c r="I23">
        <v>0</v>
      </c>
      <c r="J23">
        <v>4</v>
      </c>
      <c r="K23">
        <v>3</v>
      </c>
      <c r="L23" s="4"/>
      <c r="N23">
        <v>3</v>
      </c>
      <c r="O23">
        <v>2</v>
      </c>
      <c r="P23" s="4"/>
      <c r="Q23">
        <v>3</v>
      </c>
      <c r="R23">
        <v>4</v>
      </c>
      <c r="S23">
        <v>1</v>
      </c>
      <c r="V23">
        <f t="shared" si="0"/>
        <v>10.714285714285714</v>
      </c>
      <c r="W23">
        <v>11</v>
      </c>
    </row>
    <row r="24" spans="1:23" x14ac:dyDescent="0.45">
      <c r="A24" s="3" t="s">
        <v>39</v>
      </c>
      <c r="B24" s="3" t="s">
        <v>40</v>
      </c>
      <c r="C24">
        <v>4</v>
      </c>
      <c r="D24">
        <v>4</v>
      </c>
      <c r="E24">
        <v>4</v>
      </c>
      <c r="F24">
        <v>3</v>
      </c>
      <c r="G24">
        <v>4</v>
      </c>
      <c r="H24" s="4">
        <v>4</v>
      </c>
      <c r="I24">
        <v>4</v>
      </c>
      <c r="J24">
        <v>4</v>
      </c>
      <c r="K24">
        <v>4</v>
      </c>
      <c r="L24" s="4"/>
      <c r="N24">
        <v>4</v>
      </c>
      <c r="O24">
        <v>4</v>
      </c>
      <c r="P24" s="4"/>
      <c r="Q24">
        <v>3</v>
      </c>
      <c r="R24">
        <v>4</v>
      </c>
      <c r="S24">
        <v>4</v>
      </c>
      <c r="T24">
        <v>4</v>
      </c>
      <c r="V24">
        <f t="shared" si="0"/>
        <v>16.071428571428573</v>
      </c>
      <c r="W24">
        <v>16</v>
      </c>
    </row>
    <row r="25" spans="1:23" x14ac:dyDescent="0.45">
      <c r="A25" s="3" t="s">
        <v>41</v>
      </c>
      <c r="B25" s="3" t="s">
        <v>42</v>
      </c>
      <c r="C25" s="5">
        <v>4</v>
      </c>
      <c r="D25" s="5">
        <v>4</v>
      </c>
      <c r="E25">
        <v>4</v>
      </c>
      <c r="F25">
        <v>3</v>
      </c>
      <c r="G25">
        <v>4</v>
      </c>
      <c r="H25" s="4"/>
      <c r="I25">
        <v>2</v>
      </c>
      <c r="J25">
        <v>4</v>
      </c>
      <c r="K25">
        <v>3</v>
      </c>
      <c r="L25" s="4">
        <v>1</v>
      </c>
      <c r="M25">
        <v>4</v>
      </c>
      <c r="N25">
        <v>4</v>
      </c>
      <c r="O25">
        <v>3</v>
      </c>
      <c r="P25" s="4">
        <v>3</v>
      </c>
      <c r="Q25">
        <v>4</v>
      </c>
      <c r="R25">
        <v>4</v>
      </c>
      <c r="S25">
        <v>3</v>
      </c>
      <c r="T25">
        <v>4</v>
      </c>
      <c r="V25">
        <f t="shared" si="0"/>
        <v>15.892857142857142</v>
      </c>
      <c r="W25">
        <v>16</v>
      </c>
    </row>
    <row r="26" spans="1:23" x14ac:dyDescent="0.45">
      <c r="A26" s="3" t="s">
        <v>43</v>
      </c>
      <c r="B26" s="3" t="s">
        <v>44</v>
      </c>
      <c r="C26">
        <v>4</v>
      </c>
      <c r="D26">
        <v>4</v>
      </c>
      <c r="E26">
        <v>4</v>
      </c>
      <c r="F26">
        <v>2</v>
      </c>
      <c r="H26" s="4"/>
      <c r="I26">
        <v>4</v>
      </c>
      <c r="J26">
        <v>4</v>
      </c>
      <c r="K26" s="5">
        <v>2</v>
      </c>
      <c r="L26" s="4">
        <v>2</v>
      </c>
      <c r="M26">
        <v>4</v>
      </c>
      <c r="N26">
        <v>4</v>
      </c>
      <c r="O26">
        <v>4</v>
      </c>
      <c r="P26" s="4">
        <v>3</v>
      </c>
      <c r="Q26">
        <v>3</v>
      </c>
      <c r="R26">
        <v>4</v>
      </c>
      <c r="S26">
        <v>3</v>
      </c>
      <c r="T26">
        <v>2</v>
      </c>
      <c r="V26">
        <f t="shared" si="0"/>
        <v>14.553571428571429</v>
      </c>
      <c r="W26">
        <v>14.5</v>
      </c>
    </row>
    <row r="27" spans="1:23" x14ac:dyDescent="0.45">
      <c r="A27" s="3" t="s">
        <v>45</v>
      </c>
      <c r="B27" s="3" t="s">
        <v>46</v>
      </c>
      <c r="C27">
        <v>4</v>
      </c>
      <c r="D27">
        <v>4</v>
      </c>
      <c r="E27" s="5">
        <v>4</v>
      </c>
      <c r="G27">
        <v>2</v>
      </c>
      <c r="H27" s="4">
        <v>2</v>
      </c>
      <c r="I27">
        <v>2</v>
      </c>
      <c r="J27">
        <v>4</v>
      </c>
      <c r="K27">
        <v>4</v>
      </c>
      <c r="L27" s="4">
        <v>1</v>
      </c>
      <c r="M27">
        <v>4</v>
      </c>
      <c r="N27">
        <v>2</v>
      </c>
      <c r="P27" s="4"/>
      <c r="Q27">
        <v>3</v>
      </c>
      <c r="R27">
        <v>4</v>
      </c>
      <c r="S27">
        <v>3</v>
      </c>
      <c r="T27">
        <v>3</v>
      </c>
      <c r="U27">
        <v>3</v>
      </c>
      <c r="V27">
        <f t="shared" si="0"/>
        <v>12.589285714285714</v>
      </c>
      <c r="W27">
        <v>12.5</v>
      </c>
    </row>
    <row r="28" spans="1:23" x14ac:dyDescent="0.45">
      <c r="A28" s="3" t="s">
        <v>47</v>
      </c>
      <c r="B28" s="3" t="s">
        <v>48</v>
      </c>
      <c r="C28">
        <v>4</v>
      </c>
      <c r="D28">
        <v>4</v>
      </c>
      <c r="E28">
        <v>4</v>
      </c>
      <c r="F28">
        <v>3</v>
      </c>
      <c r="G28">
        <v>4</v>
      </c>
      <c r="H28" s="4"/>
      <c r="I28">
        <v>3</v>
      </c>
      <c r="J28">
        <v>4</v>
      </c>
      <c r="K28">
        <v>4</v>
      </c>
      <c r="L28" s="4">
        <v>2</v>
      </c>
      <c r="N28">
        <v>4</v>
      </c>
      <c r="O28">
        <v>4</v>
      </c>
      <c r="P28" s="4">
        <v>3</v>
      </c>
      <c r="Q28">
        <v>3</v>
      </c>
      <c r="R28">
        <v>4</v>
      </c>
      <c r="S28">
        <v>3</v>
      </c>
      <c r="T28">
        <v>2</v>
      </c>
      <c r="V28">
        <f t="shared" si="0"/>
        <v>15.535714285714286</v>
      </c>
      <c r="W28">
        <v>15.5</v>
      </c>
    </row>
    <row r="29" spans="1:23" x14ac:dyDescent="0.45">
      <c r="A29" s="3" t="s">
        <v>49</v>
      </c>
      <c r="B29" s="3" t="s">
        <v>50</v>
      </c>
      <c r="C29">
        <v>4</v>
      </c>
      <c r="D29">
        <v>4</v>
      </c>
      <c r="E29">
        <v>2</v>
      </c>
      <c r="F29">
        <v>4</v>
      </c>
      <c r="G29">
        <v>4</v>
      </c>
      <c r="H29" s="4"/>
      <c r="I29">
        <v>2</v>
      </c>
      <c r="J29">
        <v>4</v>
      </c>
      <c r="K29">
        <v>2</v>
      </c>
      <c r="L29" s="4">
        <v>3</v>
      </c>
      <c r="M29">
        <v>4</v>
      </c>
      <c r="N29">
        <v>4</v>
      </c>
      <c r="O29">
        <v>2</v>
      </c>
      <c r="P29" s="4"/>
      <c r="Q29">
        <v>3</v>
      </c>
      <c r="R29">
        <v>2</v>
      </c>
      <c r="S29">
        <v>3</v>
      </c>
      <c r="T29">
        <v>4</v>
      </c>
      <c r="U29">
        <v>4</v>
      </c>
      <c r="V29">
        <f t="shared" si="0"/>
        <v>14.553571428571429</v>
      </c>
      <c r="W29">
        <v>14.5</v>
      </c>
    </row>
    <row r="30" spans="1:23" x14ac:dyDescent="0.45">
      <c r="A30" s="3" t="s">
        <v>51</v>
      </c>
      <c r="B30" s="3" t="s">
        <v>52</v>
      </c>
      <c r="C30" s="5">
        <v>4</v>
      </c>
      <c r="D30" s="5">
        <v>4</v>
      </c>
      <c r="E30">
        <v>4</v>
      </c>
      <c r="F30">
        <v>4</v>
      </c>
      <c r="G30">
        <v>4</v>
      </c>
      <c r="H30" s="4">
        <v>4</v>
      </c>
      <c r="I30">
        <v>1</v>
      </c>
      <c r="J30">
        <v>4</v>
      </c>
      <c r="K30">
        <v>4</v>
      </c>
      <c r="L30" s="4"/>
      <c r="M30">
        <v>1</v>
      </c>
      <c r="N30">
        <v>4</v>
      </c>
      <c r="O30">
        <v>2</v>
      </c>
      <c r="P30" s="4">
        <v>1</v>
      </c>
      <c r="Q30">
        <v>4</v>
      </c>
      <c r="R30">
        <v>4</v>
      </c>
      <c r="S30">
        <v>3</v>
      </c>
      <c r="T30">
        <v>1</v>
      </c>
      <c r="U30">
        <v>3</v>
      </c>
      <c r="V30">
        <f t="shared" si="0"/>
        <v>15.267857142857142</v>
      </c>
      <c r="W30">
        <v>15</v>
      </c>
    </row>
    <row r="31" spans="1:23" x14ac:dyDescent="0.45">
      <c r="A31" s="3" t="s">
        <v>53</v>
      </c>
      <c r="B31" s="3" t="s">
        <v>54</v>
      </c>
      <c r="C31">
        <v>4</v>
      </c>
      <c r="D31">
        <v>4</v>
      </c>
      <c r="E31">
        <v>4</v>
      </c>
      <c r="G31">
        <v>4</v>
      </c>
      <c r="H31" s="4">
        <v>4</v>
      </c>
      <c r="I31">
        <v>3</v>
      </c>
      <c r="J31">
        <v>4</v>
      </c>
      <c r="K31">
        <v>4</v>
      </c>
      <c r="L31" s="4"/>
      <c r="M31">
        <v>4</v>
      </c>
      <c r="N31">
        <v>4</v>
      </c>
      <c r="O31">
        <v>2</v>
      </c>
      <c r="P31" s="4">
        <v>0</v>
      </c>
      <c r="Q31">
        <v>3</v>
      </c>
      <c r="R31">
        <v>4</v>
      </c>
      <c r="S31">
        <v>3</v>
      </c>
      <c r="V31">
        <f t="shared" si="0"/>
        <v>12.767857142857142</v>
      </c>
      <c r="W31">
        <v>13</v>
      </c>
    </row>
    <row r="32" spans="1:23" x14ac:dyDescent="0.45">
      <c r="A32" s="3" t="s">
        <v>55</v>
      </c>
      <c r="B32" s="3" t="s">
        <v>56</v>
      </c>
      <c r="C32">
        <v>4</v>
      </c>
      <c r="D32">
        <v>4</v>
      </c>
      <c r="E32">
        <v>4</v>
      </c>
      <c r="F32">
        <v>0</v>
      </c>
      <c r="G32">
        <v>4</v>
      </c>
      <c r="H32" s="4">
        <v>3</v>
      </c>
      <c r="I32">
        <v>2</v>
      </c>
      <c r="J32">
        <v>4</v>
      </c>
      <c r="K32">
        <v>2</v>
      </c>
      <c r="L32" s="4">
        <v>0</v>
      </c>
      <c r="M32">
        <v>4</v>
      </c>
      <c r="N32">
        <v>4</v>
      </c>
      <c r="O32">
        <v>1</v>
      </c>
      <c r="P32" s="4">
        <v>1</v>
      </c>
      <c r="Q32">
        <v>4</v>
      </c>
      <c r="R32">
        <v>3</v>
      </c>
      <c r="S32">
        <v>4</v>
      </c>
      <c r="T32">
        <v>2</v>
      </c>
      <c r="V32">
        <f t="shared" si="0"/>
        <v>12.767857142857142</v>
      </c>
      <c r="W32">
        <v>13</v>
      </c>
    </row>
    <row r="33" spans="1:23" x14ac:dyDescent="0.45">
      <c r="A33" s="3" t="s">
        <v>57</v>
      </c>
      <c r="B33" s="3" t="s">
        <v>58</v>
      </c>
      <c r="C33">
        <v>4</v>
      </c>
      <c r="D33">
        <v>0</v>
      </c>
      <c r="E33">
        <v>4</v>
      </c>
      <c r="F33">
        <v>0</v>
      </c>
      <c r="H33" s="4"/>
      <c r="I33">
        <v>0</v>
      </c>
      <c r="J33">
        <v>4</v>
      </c>
      <c r="K33">
        <v>4</v>
      </c>
      <c r="L33" s="4">
        <v>1</v>
      </c>
      <c r="M33">
        <v>4</v>
      </c>
      <c r="N33">
        <v>2</v>
      </c>
      <c r="O33">
        <v>3</v>
      </c>
      <c r="P33" s="4"/>
      <c r="Q33">
        <v>0</v>
      </c>
      <c r="R33">
        <v>0</v>
      </c>
      <c r="S33">
        <v>1</v>
      </c>
      <c r="V33">
        <f t="shared" si="0"/>
        <v>7.7678571428571432</v>
      </c>
      <c r="W33">
        <v>8</v>
      </c>
    </row>
    <row r="34" spans="1:23" x14ac:dyDescent="0.45">
      <c r="A34" s="3" t="s">
        <v>59</v>
      </c>
      <c r="B34" s="3" t="s">
        <v>60</v>
      </c>
      <c r="C34">
        <v>3</v>
      </c>
      <c r="D34">
        <v>4</v>
      </c>
      <c r="E34">
        <v>4</v>
      </c>
      <c r="F34">
        <v>1</v>
      </c>
      <c r="G34">
        <v>3</v>
      </c>
      <c r="H34" s="4"/>
      <c r="I34">
        <v>4</v>
      </c>
      <c r="J34">
        <v>4</v>
      </c>
      <c r="K34">
        <v>4</v>
      </c>
      <c r="L34" s="4">
        <v>4</v>
      </c>
      <c r="M34">
        <v>4</v>
      </c>
      <c r="N34">
        <v>4</v>
      </c>
      <c r="O34">
        <v>3</v>
      </c>
      <c r="P34" s="4">
        <v>2</v>
      </c>
      <c r="Q34">
        <v>4</v>
      </c>
      <c r="R34">
        <v>4</v>
      </c>
      <c r="S34">
        <v>4</v>
      </c>
      <c r="V34">
        <f t="shared" si="0"/>
        <v>14.732142857142858</v>
      </c>
      <c r="W34">
        <v>15</v>
      </c>
    </row>
    <row r="35" spans="1:23" x14ac:dyDescent="0.45">
      <c r="A35" s="3" t="s">
        <v>61</v>
      </c>
      <c r="B35" s="3" t="s">
        <v>62</v>
      </c>
      <c r="C35">
        <v>4</v>
      </c>
      <c r="D35">
        <v>4</v>
      </c>
      <c r="E35">
        <v>4</v>
      </c>
      <c r="H35" s="4"/>
      <c r="I35">
        <v>4</v>
      </c>
      <c r="J35">
        <v>4</v>
      </c>
      <c r="K35">
        <v>4</v>
      </c>
      <c r="L35" s="4">
        <v>1</v>
      </c>
      <c r="M35">
        <v>4</v>
      </c>
      <c r="N35">
        <v>4</v>
      </c>
      <c r="O35">
        <v>3</v>
      </c>
      <c r="P35" s="4">
        <v>2</v>
      </c>
      <c r="Q35">
        <v>4</v>
      </c>
      <c r="R35">
        <v>4</v>
      </c>
      <c r="S35">
        <v>3</v>
      </c>
      <c r="V35">
        <f t="shared" si="0"/>
        <v>13.303571428571429</v>
      </c>
      <c r="W35">
        <v>13.5</v>
      </c>
    </row>
    <row r="36" spans="1:23" x14ac:dyDescent="0.45">
      <c r="A36" s="3" t="s">
        <v>63</v>
      </c>
      <c r="B36" s="3" t="s">
        <v>64</v>
      </c>
      <c r="C36">
        <v>4</v>
      </c>
      <c r="D36">
        <v>4</v>
      </c>
      <c r="E36">
        <v>4</v>
      </c>
      <c r="F36">
        <v>3</v>
      </c>
      <c r="G36">
        <v>4</v>
      </c>
      <c r="H36" s="4"/>
      <c r="I36">
        <v>1</v>
      </c>
      <c r="J36">
        <v>4</v>
      </c>
      <c r="K36">
        <v>4</v>
      </c>
      <c r="L36" s="4"/>
      <c r="M36">
        <v>4</v>
      </c>
      <c r="N36">
        <v>4</v>
      </c>
      <c r="O36">
        <v>3</v>
      </c>
      <c r="P36" s="4">
        <v>3</v>
      </c>
      <c r="Q36">
        <v>2</v>
      </c>
      <c r="R36">
        <v>3</v>
      </c>
      <c r="S36">
        <v>3</v>
      </c>
      <c r="V36">
        <f t="shared" si="0"/>
        <v>13.392857142857142</v>
      </c>
      <c r="W36">
        <v>13.5</v>
      </c>
    </row>
    <row r="37" spans="1:23" x14ac:dyDescent="0.45">
      <c r="A37" s="3" t="s">
        <v>65</v>
      </c>
      <c r="B37" s="3" t="s">
        <v>66</v>
      </c>
      <c r="C37">
        <v>4</v>
      </c>
      <c r="D37">
        <v>4</v>
      </c>
      <c r="E37">
        <v>4</v>
      </c>
      <c r="G37">
        <v>4</v>
      </c>
      <c r="H37" s="4"/>
      <c r="I37">
        <v>1</v>
      </c>
      <c r="J37">
        <v>4</v>
      </c>
      <c r="K37">
        <v>2</v>
      </c>
      <c r="L37" s="4">
        <v>1</v>
      </c>
      <c r="M37">
        <v>4</v>
      </c>
      <c r="N37">
        <v>4</v>
      </c>
      <c r="O37">
        <v>2</v>
      </c>
      <c r="P37" s="4"/>
      <c r="Q37">
        <v>4</v>
      </c>
      <c r="R37">
        <v>3</v>
      </c>
      <c r="V37">
        <f t="shared" si="0"/>
        <v>10.357142857142858</v>
      </c>
      <c r="W37">
        <v>10.5</v>
      </c>
    </row>
    <row r="38" spans="1:23" x14ac:dyDescent="0.45">
      <c r="A38" s="3" t="s">
        <v>67</v>
      </c>
      <c r="B38" s="3" t="s">
        <v>68</v>
      </c>
      <c r="C38">
        <v>4</v>
      </c>
      <c r="D38">
        <v>4</v>
      </c>
      <c r="E38">
        <v>4</v>
      </c>
      <c r="G38">
        <v>2</v>
      </c>
      <c r="H38" s="4">
        <v>0</v>
      </c>
      <c r="I38">
        <v>3</v>
      </c>
      <c r="J38">
        <v>4</v>
      </c>
      <c r="K38">
        <v>4</v>
      </c>
      <c r="L38" s="4">
        <v>2</v>
      </c>
      <c r="M38">
        <v>4</v>
      </c>
      <c r="N38">
        <v>3</v>
      </c>
      <c r="O38">
        <v>3</v>
      </c>
      <c r="P38" s="4"/>
      <c r="Q38">
        <v>3</v>
      </c>
      <c r="R38">
        <v>4</v>
      </c>
      <c r="S38">
        <v>4</v>
      </c>
      <c r="T38">
        <v>3</v>
      </c>
      <c r="U38">
        <v>2</v>
      </c>
      <c r="V38">
        <f t="shared" si="0"/>
        <v>14.196428571428571</v>
      </c>
      <c r="W38">
        <v>14</v>
      </c>
    </row>
    <row r="39" spans="1:23" x14ac:dyDescent="0.45">
      <c r="A39" s="3" t="s">
        <v>69</v>
      </c>
      <c r="B39" s="3" t="s">
        <v>70</v>
      </c>
      <c r="C39">
        <v>4</v>
      </c>
      <c r="D39">
        <v>4</v>
      </c>
      <c r="E39">
        <v>4</v>
      </c>
      <c r="F39">
        <v>2</v>
      </c>
      <c r="G39">
        <v>4</v>
      </c>
      <c r="H39" s="4">
        <v>3</v>
      </c>
      <c r="I39">
        <v>3</v>
      </c>
      <c r="J39">
        <v>4</v>
      </c>
      <c r="K39">
        <v>4</v>
      </c>
      <c r="L39" s="4">
        <v>0</v>
      </c>
      <c r="M39">
        <v>4</v>
      </c>
      <c r="N39">
        <v>4</v>
      </c>
      <c r="O39">
        <v>1</v>
      </c>
      <c r="P39" s="4">
        <v>0</v>
      </c>
      <c r="Q39">
        <v>3</v>
      </c>
      <c r="S39">
        <v>3</v>
      </c>
      <c r="T39">
        <v>1</v>
      </c>
      <c r="U39">
        <v>1</v>
      </c>
      <c r="V39">
        <f t="shared" si="0"/>
        <v>12.053571428571429</v>
      </c>
      <c r="W39">
        <v>12</v>
      </c>
    </row>
    <row r="40" spans="1:23" x14ac:dyDescent="0.45">
      <c r="A40" s="3" t="s">
        <v>71</v>
      </c>
      <c r="B40" s="3" t="s">
        <v>72</v>
      </c>
      <c r="C40">
        <v>4</v>
      </c>
      <c r="D40">
        <v>4</v>
      </c>
      <c r="E40">
        <v>4</v>
      </c>
      <c r="F40">
        <v>1</v>
      </c>
      <c r="G40">
        <v>2</v>
      </c>
      <c r="H40" s="4"/>
      <c r="I40">
        <v>0</v>
      </c>
      <c r="J40">
        <v>4</v>
      </c>
      <c r="K40">
        <v>4</v>
      </c>
      <c r="L40" s="4">
        <v>2</v>
      </c>
      <c r="M40">
        <v>4</v>
      </c>
      <c r="N40">
        <v>3</v>
      </c>
      <c r="O40">
        <v>1</v>
      </c>
      <c r="P40" s="4"/>
      <c r="Q40">
        <v>4</v>
      </c>
      <c r="R40">
        <v>3</v>
      </c>
      <c r="S40">
        <v>4</v>
      </c>
      <c r="U40">
        <v>2</v>
      </c>
      <c r="V40">
        <f t="shared" si="0"/>
        <v>12.5</v>
      </c>
      <c r="W40">
        <v>12.5</v>
      </c>
    </row>
    <row r="41" spans="1:23" x14ac:dyDescent="0.45">
      <c r="A41" s="3" t="s">
        <v>73</v>
      </c>
      <c r="B41" s="3" t="s">
        <v>74</v>
      </c>
      <c r="C41">
        <v>4</v>
      </c>
      <c r="D41">
        <v>4</v>
      </c>
      <c r="E41">
        <v>4</v>
      </c>
      <c r="F41">
        <v>0</v>
      </c>
      <c r="G41">
        <v>3</v>
      </c>
      <c r="H41" s="4">
        <v>2</v>
      </c>
      <c r="J41">
        <v>4</v>
      </c>
      <c r="K41">
        <v>3</v>
      </c>
      <c r="L41" s="4">
        <v>2</v>
      </c>
      <c r="M41">
        <v>3</v>
      </c>
      <c r="N41">
        <v>3</v>
      </c>
      <c r="O41">
        <v>2</v>
      </c>
      <c r="P41" s="4">
        <v>3</v>
      </c>
      <c r="Q41">
        <v>3</v>
      </c>
      <c r="R41" s="5">
        <v>3</v>
      </c>
      <c r="S41">
        <v>4</v>
      </c>
      <c r="T41">
        <v>4</v>
      </c>
      <c r="U41">
        <v>4</v>
      </c>
      <c r="V41">
        <f t="shared" si="0"/>
        <v>14.732142857142858</v>
      </c>
      <c r="W41">
        <v>15</v>
      </c>
    </row>
    <row r="42" spans="1:23" x14ac:dyDescent="0.45">
      <c r="A42" s="3" t="s">
        <v>75</v>
      </c>
      <c r="B42" s="3" t="s">
        <v>48</v>
      </c>
      <c r="C42">
        <v>4</v>
      </c>
      <c r="D42">
        <v>4</v>
      </c>
      <c r="E42">
        <v>4</v>
      </c>
      <c r="F42">
        <v>1</v>
      </c>
      <c r="G42">
        <v>2</v>
      </c>
      <c r="H42" s="4">
        <v>1</v>
      </c>
      <c r="I42">
        <v>2</v>
      </c>
      <c r="J42">
        <v>4</v>
      </c>
      <c r="K42">
        <v>2</v>
      </c>
      <c r="L42" s="4"/>
      <c r="M42">
        <v>4</v>
      </c>
      <c r="P42" s="4"/>
      <c r="V42">
        <f t="shared" si="0"/>
        <v>5.8928571428571432</v>
      </c>
      <c r="W42">
        <v>6</v>
      </c>
    </row>
    <row r="43" spans="1:23" x14ac:dyDescent="0.45">
      <c r="A43" s="3" t="s">
        <v>76</v>
      </c>
      <c r="B43" s="3" t="s">
        <v>77</v>
      </c>
      <c r="C43">
        <v>4</v>
      </c>
      <c r="D43">
        <v>4</v>
      </c>
      <c r="E43">
        <v>4</v>
      </c>
      <c r="F43">
        <v>1</v>
      </c>
      <c r="G43">
        <v>4</v>
      </c>
      <c r="H43" s="4">
        <v>2</v>
      </c>
      <c r="I43">
        <v>2</v>
      </c>
      <c r="J43">
        <v>4</v>
      </c>
      <c r="K43">
        <v>4</v>
      </c>
      <c r="L43" s="4">
        <v>3</v>
      </c>
      <c r="M43">
        <v>4</v>
      </c>
      <c r="N43">
        <v>4</v>
      </c>
      <c r="O43">
        <v>3</v>
      </c>
      <c r="P43" s="4">
        <v>3</v>
      </c>
      <c r="Q43">
        <v>3</v>
      </c>
      <c r="R43">
        <v>4</v>
      </c>
      <c r="S43">
        <v>4</v>
      </c>
      <c r="T43">
        <v>4</v>
      </c>
      <c r="U43">
        <v>3</v>
      </c>
      <c r="V43">
        <f t="shared" si="0"/>
        <v>16.964285714285715</v>
      </c>
      <c r="W43">
        <v>17</v>
      </c>
    </row>
    <row r="44" spans="1:23" x14ac:dyDescent="0.45">
      <c r="A44" s="3" t="s">
        <v>78</v>
      </c>
      <c r="B44" s="3" t="s">
        <v>79</v>
      </c>
      <c r="C44">
        <v>4</v>
      </c>
      <c r="D44">
        <v>4</v>
      </c>
      <c r="E44">
        <v>4</v>
      </c>
      <c r="F44">
        <v>3</v>
      </c>
      <c r="G44">
        <v>4</v>
      </c>
      <c r="H44" s="4">
        <v>4</v>
      </c>
      <c r="I44">
        <v>2</v>
      </c>
      <c r="J44">
        <v>4</v>
      </c>
      <c r="K44">
        <v>4</v>
      </c>
      <c r="L44" s="4"/>
      <c r="M44">
        <v>4</v>
      </c>
      <c r="N44">
        <v>4</v>
      </c>
      <c r="O44">
        <v>3</v>
      </c>
      <c r="P44" s="4"/>
      <c r="Q44">
        <v>3</v>
      </c>
      <c r="S44">
        <v>3</v>
      </c>
      <c r="T44">
        <v>1</v>
      </c>
      <c r="V44">
        <f t="shared" si="0"/>
        <v>13.035714285714286</v>
      </c>
      <c r="W44">
        <v>13</v>
      </c>
    </row>
    <row r="45" spans="1:23" x14ac:dyDescent="0.45">
      <c r="A45" s="3" t="s">
        <v>80</v>
      </c>
      <c r="B45" s="3" t="s">
        <v>81</v>
      </c>
      <c r="C45">
        <v>4</v>
      </c>
      <c r="D45">
        <v>4</v>
      </c>
      <c r="E45">
        <v>4</v>
      </c>
      <c r="F45">
        <v>0</v>
      </c>
      <c r="G45">
        <v>4</v>
      </c>
      <c r="H45" s="4">
        <v>2</v>
      </c>
      <c r="I45">
        <v>2</v>
      </c>
      <c r="J45">
        <v>4</v>
      </c>
      <c r="K45">
        <v>4</v>
      </c>
      <c r="L45" s="4">
        <v>1</v>
      </c>
      <c r="M45">
        <v>4</v>
      </c>
      <c r="N45">
        <v>4</v>
      </c>
      <c r="O45">
        <v>2</v>
      </c>
      <c r="P45" s="4"/>
      <c r="Q45" s="5">
        <v>4</v>
      </c>
      <c r="R45">
        <v>4</v>
      </c>
      <c r="S45">
        <v>4</v>
      </c>
      <c r="T45">
        <v>4</v>
      </c>
      <c r="U45">
        <v>4</v>
      </c>
      <c r="V45">
        <f t="shared" si="0"/>
        <v>15.446428571428571</v>
      </c>
      <c r="W45">
        <v>15.5</v>
      </c>
    </row>
    <row r="46" spans="1:23" x14ac:dyDescent="0.45">
      <c r="A46" s="3" t="s">
        <v>82</v>
      </c>
      <c r="B46" s="3" t="s">
        <v>83</v>
      </c>
      <c r="C46">
        <v>4</v>
      </c>
      <c r="D46">
        <v>4</v>
      </c>
      <c r="E46">
        <v>4</v>
      </c>
      <c r="F46">
        <v>1</v>
      </c>
      <c r="G46">
        <v>2</v>
      </c>
      <c r="H46" s="4"/>
      <c r="I46">
        <v>2</v>
      </c>
      <c r="J46">
        <v>4</v>
      </c>
      <c r="K46">
        <v>4</v>
      </c>
      <c r="L46" s="4">
        <v>2</v>
      </c>
      <c r="M46">
        <v>4</v>
      </c>
      <c r="N46">
        <v>2</v>
      </c>
      <c r="O46">
        <v>2</v>
      </c>
      <c r="P46" s="4"/>
      <c r="Q46">
        <v>1</v>
      </c>
      <c r="R46">
        <v>1</v>
      </c>
      <c r="S46">
        <v>3</v>
      </c>
      <c r="V46">
        <f t="shared" si="0"/>
        <v>10.178571428571429</v>
      </c>
      <c r="W46">
        <v>10</v>
      </c>
    </row>
    <row r="47" spans="1:23" x14ac:dyDescent="0.45">
      <c r="A47" s="3" t="s">
        <v>84</v>
      </c>
      <c r="B47" s="3" t="s">
        <v>85</v>
      </c>
      <c r="C47">
        <v>4</v>
      </c>
      <c r="D47">
        <v>4</v>
      </c>
      <c r="E47">
        <v>4</v>
      </c>
      <c r="F47">
        <v>0</v>
      </c>
      <c r="G47">
        <v>4</v>
      </c>
      <c r="H47" s="4">
        <v>2</v>
      </c>
      <c r="I47">
        <v>1</v>
      </c>
      <c r="J47">
        <v>1</v>
      </c>
      <c r="K47">
        <v>1</v>
      </c>
      <c r="L47" s="4">
        <v>1</v>
      </c>
      <c r="M47">
        <v>3</v>
      </c>
      <c r="N47">
        <v>4</v>
      </c>
      <c r="O47">
        <v>1</v>
      </c>
      <c r="P47" s="4"/>
      <c r="V47">
        <f t="shared" si="0"/>
        <v>6.3392857142857144</v>
      </c>
      <c r="W47">
        <v>6.5</v>
      </c>
    </row>
    <row r="48" spans="1:23" x14ac:dyDescent="0.45">
      <c r="A48" s="3" t="s">
        <v>86</v>
      </c>
      <c r="B48" s="3" t="s">
        <v>87</v>
      </c>
      <c r="C48">
        <v>1</v>
      </c>
      <c r="D48">
        <v>4</v>
      </c>
      <c r="E48">
        <v>4</v>
      </c>
      <c r="F48">
        <v>2</v>
      </c>
      <c r="G48">
        <v>4</v>
      </c>
      <c r="H48" s="4">
        <v>3</v>
      </c>
      <c r="I48">
        <v>0</v>
      </c>
      <c r="J48">
        <v>4</v>
      </c>
      <c r="K48">
        <v>3</v>
      </c>
      <c r="L48" s="4">
        <v>3</v>
      </c>
      <c r="M48">
        <v>4</v>
      </c>
      <c r="N48">
        <v>3</v>
      </c>
      <c r="O48">
        <v>2</v>
      </c>
      <c r="P48" s="4">
        <v>0</v>
      </c>
      <c r="Q48">
        <v>4</v>
      </c>
      <c r="S48">
        <v>1</v>
      </c>
      <c r="V48">
        <f t="shared" si="0"/>
        <v>10.267857142857142</v>
      </c>
      <c r="W48">
        <v>10.5</v>
      </c>
    </row>
    <row r="49" spans="1:23" x14ac:dyDescent="0.45">
      <c r="A49" s="3" t="s">
        <v>88</v>
      </c>
      <c r="B49" s="3" t="s">
        <v>89</v>
      </c>
      <c r="C49">
        <v>3</v>
      </c>
      <c r="D49">
        <v>4</v>
      </c>
      <c r="E49">
        <v>2</v>
      </c>
      <c r="G49">
        <v>4</v>
      </c>
      <c r="H49" s="4">
        <v>4</v>
      </c>
      <c r="J49">
        <v>4</v>
      </c>
      <c r="K49">
        <v>4</v>
      </c>
      <c r="L49" s="4"/>
      <c r="M49">
        <v>3</v>
      </c>
      <c r="N49">
        <v>0</v>
      </c>
      <c r="O49">
        <v>1</v>
      </c>
      <c r="P49" s="4"/>
      <c r="Q49">
        <v>0</v>
      </c>
      <c r="R49">
        <v>0</v>
      </c>
      <c r="S49">
        <v>3</v>
      </c>
      <c r="V49">
        <f t="shared" si="0"/>
        <v>7.4107142857142856</v>
      </c>
      <c r="W49">
        <v>7.5</v>
      </c>
    </row>
    <row r="50" spans="1:23" x14ac:dyDescent="0.45">
      <c r="A50" s="3" t="s">
        <v>90</v>
      </c>
      <c r="B50" s="3" t="s">
        <v>91</v>
      </c>
      <c r="C50">
        <v>4</v>
      </c>
      <c r="D50">
        <v>4</v>
      </c>
      <c r="E50">
        <v>4</v>
      </c>
      <c r="F50">
        <v>2</v>
      </c>
      <c r="G50">
        <v>4</v>
      </c>
      <c r="H50" s="4">
        <v>2</v>
      </c>
      <c r="I50">
        <v>4</v>
      </c>
      <c r="J50">
        <v>4</v>
      </c>
      <c r="K50">
        <v>4</v>
      </c>
      <c r="L50" s="4">
        <v>1</v>
      </c>
      <c r="M50">
        <v>4</v>
      </c>
      <c r="N50">
        <v>4</v>
      </c>
      <c r="O50">
        <v>3</v>
      </c>
      <c r="P50" s="4">
        <v>2</v>
      </c>
      <c r="Q50">
        <v>4</v>
      </c>
      <c r="R50">
        <v>1</v>
      </c>
      <c r="V50">
        <f t="shared" si="0"/>
        <v>12.589285714285714</v>
      </c>
      <c r="W50">
        <v>12.5</v>
      </c>
    </row>
    <row r="51" spans="1:23" x14ac:dyDescent="0.45">
      <c r="A51" s="3" t="s">
        <v>92</v>
      </c>
      <c r="B51" s="3" t="s">
        <v>93</v>
      </c>
      <c r="C51" s="5">
        <v>4</v>
      </c>
      <c r="D51" s="5">
        <v>4</v>
      </c>
      <c r="E51" s="5">
        <v>4</v>
      </c>
      <c r="G51">
        <v>1</v>
      </c>
      <c r="H51" s="4"/>
      <c r="I51">
        <v>1</v>
      </c>
      <c r="J51">
        <v>4</v>
      </c>
      <c r="K51">
        <v>4</v>
      </c>
      <c r="L51" s="4"/>
      <c r="M51">
        <v>4</v>
      </c>
      <c r="N51">
        <v>1</v>
      </c>
      <c r="P51" s="4"/>
      <c r="Q51">
        <v>3</v>
      </c>
      <c r="R51">
        <v>3</v>
      </c>
      <c r="S51">
        <v>4</v>
      </c>
      <c r="T51">
        <v>1</v>
      </c>
      <c r="V51">
        <f t="shared" si="0"/>
        <v>10.178571428571429</v>
      </c>
      <c r="W51">
        <v>10</v>
      </c>
    </row>
    <row r="52" spans="1:23" x14ac:dyDescent="0.45">
      <c r="A52" s="3" t="s">
        <v>94</v>
      </c>
      <c r="B52" s="3" t="s">
        <v>95</v>
      </c>
      <c r="C52">
        <v>3</v>
      </c>
      <c r="D52">
        <v>4</v>
      </c>
      <c r="E52">
        <v>4</v>
      </c>
      <c r="F52">
        <v>1</v>
      </c>
      <c r="G52">
        <v>4</v>
      </c>
      <c r="H52" s="4">
        <v>4</v>
      </c>
      <c r="I52">
        <v>4</v>
      </c>
      <c r="J52">
        <v>4</v>
      </c>
      <c r="K52">
        <v>4</v>
      </c>
      <c r="L52" s="4">
        <v>2</v>
      </c>
      <c r="M52">
        <v>4</v>
      </c>
      <c r="N52">
        <v>4</v>
      </c>
      <c r="O52">
        <v>1</v>
      </c>
      <c r="P52" s="4">
        <v>2</v>
      </c>
      <c r="Q52">
        <v>3</v>
      </c>
      <c r="R52">
        <v>4</v>
      </c>
      <c r="S52">
        <v>3</v>
      </c>
      <c r="V52">
        <f t="shared" si="0"/>
        <v>13.571428571428571</v>
      </c>
      <c r="W52">
        <v>13.5</v>
      </c>
    </row>
    <row r="53" spans="1:23" x14ac:dyDescent="0.45">
      <c r="A53" s="3" t="s">
        <v>96</v>
      </c>
      <c r="B53" s="3" t="s">
        <v>97</v>
      </c>
      <c r="C53">
        <v>4</v>
      </c>
      <c r="D53">
        <v>4</v>
      </c>
      <c r="E53">
        <v>4</v>
      </c>
      <c r="F53">
        <v>2</v>
      </c>
      <c r="G53">
        <v>4</v>
      </c>
      <c r="H53" s="4">
        <v>2</v>
      </c>
      <c r="I53">
        <v>2</v>
      </c>
      <c r="J53">
        <v>4</v>
      </c>
      <c r="K53">
        <v>4</v>
      </c>
      <c r="L53" s="4">
        <v>1</v>
      </c>
      <c r="M53">
        <v>4</v>
      </c>
      <c r="N53">
        <v>4</v>
      </c>
      <c r="O53">
        <v>2</v>
      </c>
      <c r="P53" s="4">
        <v>4</v>
      </c>
      <c r="Q53">
        <v>3</v>
      </c>
      <c r="R53">
        <v>4</v>
      </c>
      <c r="S53">
        <v>3</v>
      </c>
      <c r="T53">
        <v>1</v>
      </c>
      <c r="V53">
        <f t="shared" si="0"/>
        <v>14.732142857142858</v>
      </c>
      <c r="W53">
        <v>15</v>
      </c>
    </row>
    <row r="54" spans="1:23" x14ac:dyDescent="0.45">
      <c r="A54" s="3" t="s">
        <v>98</v>
      </c>
      <c r="B54" s="3" t="s">
        <v>99</v>
      </c>
      <c r="C54">
        <v>4</v>
      </c>
      <c r="D54">
        <v>4</v>
      </c>
      <c r="E54">
        <v>2</v>
      </c>
      <c r="F54">
        <v>2</v>
      </c>
      <c r="H54" s="4"/>
      <c r="I54">
        <v>2</v>
      </c>
      <c r="J54">
        <v>4</v>
      </c>
      <c r="K54">
        <v>4</v>
      </c>
      <c r="L54" s="4"/>
      <c r="P54" s="4"/>
      <c r="Q54">
        <v>1</v>
      </c>
      <c r="S54">
        <v>2</v>
      </c>
      <c r="V54">
        <f t="shared" si="0"/>
        <v>6.9642857142857144</v>
      </c>
      <c r="W54">
        <v>7</v>
      </c>
    </row>
    <row r="55" spans="1:23" x14ac:dyDescent="0.45">
      <c r="A55" s="3" t="s">
        <v>100</v>
      </c>
      <c r="B55" s="3" t="s">
        <v>64</v>
      </c>
      <c r="C55">
        <v>4</v>
      </c>
      <c r="D55">
        <v>4</v>
      </c>
      <c r="E55">
        <v>4</v>
      </c>
      <c r="G55">
        <v>4</v>
      </c>
      <c r="H55" s="4">
        <v>2</v>
      </c>
      <c r="I55">
        <v>2</v>
      </c>
      <c r="J55">
        <v>4</v>
      </c>
      <c r="K55">
        <v>4</v>
      </c>
      <c r="L55" s="4">
        <v>1</v>
      </c>
      <c r="P55" s="4"/>
      <c r="Q55">
        <v>3</v>
      </c>
      <c r="R55">
        <v>3</v>
      </c>
      <c r="S55">
        <v>2</v>
      </c>
      <c r="V55">
        <f t="shared" si="0"/>
        <v>9.375</v>
      </c>
      <c r="W55">
        <v>9.5</v>
      </c>
    </row>
    <row r="56" spans="1:23" x14ac:dyDescent="0.45">
      <c r="A56" s="3" t="s">
        <v>101</v>
      </c>
      <c r="B56" s="3" t="s">
        <v>102</v>
      </c>
      <c r="C56">
        <v>4</v>
      </c>
      <c r="D56">
        <v>4</v>
      </c>
      <c r="E56">
        <v>4</v>
      </c>
      <c r="F56">
        <v>0</v>
      </c>
      <c r="G56">
        <v>4</v>
      </c>
      <c r="H56" s="4">
        <v>2</v>
      </c>
      <c r="I56">
        <v>1</v>
      </c>
      <c r="J56">
        <v>4</v>
      </c>
      <c r="K56">
        <v>4</v>
      </c>
      <c r="L56" s="4"/>
      <c r="M56">
        <v>4</v>
      </c>
      <c r="N56">
        <v>4</v>
      </c>
      <c r="O56">
        <v>3</v>
      </c>
      <c r="P56" s="4"/>
      <c r="Q56">
        <v>4</v>
      </c>
      <c r="S56">
        <v>4</v>
      </c>
      <c r="T56">
        <v>2</v>
      </c>
      <c r="U56">
        <v>4</v>
      </c>
      <c r="V56">
        <f t="shared" si="0"/>
        <v>13.303571428571429</v>
      </c>
      <c r="W56">
        <v>13.5</v>
      </c>
    </row>
    <row r="57" spans="1:23" x14ac:dyDescent="0.45">
      <c r="A57" s="3" t="s">
        <v>103</v>
      </c>
      <c r="B57" s="3" t="s">
        <v>104</v>
      </c>
      <c r="C57">
        <v>4</v>
      </c>
      <c r="D57">
        <v>4</v>
      </c>
      <c r="E57">
        <v>4</v>
      </c>
      <c r="F57">
        <v>1</v>
      </c>
      <c r="G57">
        <v>2</v>
      </c>
      <c r="H57" s="4">
        <v>1</v>
      </c>
      <c r="I57">
        <v>2</v>
      </c>
      <c r="J57">
        <v>4</v>
      </c>
      <c r="K57">
        <v>4</v>
      </c>
      <c r="L57" s="4">
        <v>2</v>
      </c>
      <c r="M57">
        <v>4</v>
      </c>
      <c r="N57">
        <v>0</v>
      </c>
      <c r="P57" s="4"/>
      <c r="Q57">
        <v>1</v>
      </c>
      <c r="R57">
        <v>0</v>
      </c>
      <c r="S57">
        <v>3</v>
      </c>
      <c r="V57">
        <f t="shared" si="0"/>
        <v>8.5714285714285712</v>
      </c>
      <c r="W57">
        <v>8.5</v>
      </c>
    </row>
    <row r="58" spans="1:23" x14ac:dyDescent="0.45">
      <c r="A58" s="3" t="s">
        <v>105</v>
      </c>
      <c r="B58" s="3" t="s">
        <v>106</v>
      </c>
      <c r="C58">
        <v>4</v>
      </c>
      <c r="D58">
        <v>4</v>
      </c>
      <c r="E58">
        <v>4</v>
      </c>
      <c r="G58">
        <v>4</v>
      </c>
      <c r="H58" s="4">
        <v>4</v>
      </c>
      <c r="I58">
        <v>4</v>
      </c>
      <c r="J58">
        <v>4</v>
      </c>
      <c r="K58">
        <v>3</v>
      </c>
      <c r="L58" s="4">
        <v>2</v>
      </c>
      <c r="M58" s="5">
        <v>4</v>
      </c>
      <c r="N58" s="5">
        <v>4</v>
      </c>
      <c r="O58">
        <v>3</v>
      </c>
      <c r="P58" s="4">
        <v>4</v>
      </c>
      <c r="Q58">
        <v>4</v>
      </c>
      <c r="R58">
        <v>3</v>
      </c>
      <c r="S58">
        <v>4</v>
      </c>
      <c r="T58">
        <v>2</v>
      </c>
      <c r="V58">
        <f t="shared" si="0"/>
        <v>15.535714285714286</v>
      </c>
      <c r="W58">
        <v>15.5</v>
      </c>
    </row>
    <row r="59" spans="1:23" x14ac:dyDescent="0.45">
      <c r="A59" s="3" t="s">
        <v>107</v>
      </c>
      <c r="B59" s="3" t="s">
        <v>108</v>
      </c>
      <c r="C59">
        <v>4</v>
      </c>
      <c r="D59">
        <v>4</v>
      </c>
      <c r="E59">
        <v>4</v>
      </c>
      <c r="F59">
        <v>1</v>
      </c>
      <c r="H59" s="4"/>
      <c r="J59">
        <v>4</v>
      </c>
      <c r="K59">
        <v>4</v>
      </c>
      <c r="L59" s="4">
        <v>1</v>
      </c>
      <c r="M59">
        <v>4</v>
      </c>
      <c r="P59" s="4"/>
      <c r="Q59">
        <v>1</v>
      </c>
      <c r="R59">
        <v>0</v>
      </c>
      <c r="S59">
        <v>3</v>
      </c>
      <c r="V59">
        <f t="shared" si="0"/>
        <v>7.7678571428571432</v>
      </c>
      <c r="W59">
        <v>8</v>
      </c>
    </row>
    <row r="60" spans="1:23" x14ac:dyDescent="0.45">
      <c r="A60" s="3" t="s">
        <v>109</v>
      </c>
      <c r="B60" s="3" t="s">
        <v>110</v>
      </c>
      <c r="C60" s="5">
        <v>4</v>
      </c>
      <c r="D60">
        <v>4</v>
      </c>
      <c r="E60">
        <v>4</v>
      </c>
      <c r="F60">
        <v>2</v>
      </c>
      <c r="G60">
        <v>4</v>
      </c>
      <c r="H60" s="4">
        <v>4</v>
      </c>
      <c r="J60">
        <v>4</v>
      </c>
      <c r="K60">
        <v>4</v>
      </c>
      <c r="L60" s="4">
        <v>3</v>
      </c>
      <c r="M60">
        <v>3</v>
      </c>
      <c r="N60">
        <v>4</v>
      </c>
      <c r="O60">
        <v>2</v>
      </c>
      <c r="P60" s="4"/>
      <c r="Q60">
        <v>4</v>
      </c>
      <c r="R60">
        <v>4</v>
      </c>
      <c r="S60">
        <v>4</v>
      </c>
      <c r="V60">
        <f t="shared" si="0"/>
        <v>14.642857142857142</v>
      </c>
      <c r="W60">
        <v>14.5</v>
      </c>
    </row>
    <row r="61" spans="1:23" x14ac:dyDescent="0.45">
      <c r="A61" s="3" t="s">
        <v>111</v>
      </c>
      <c r="B61" s="3" t="s">
        <v>112</v>
      </c>
      <c r="C61" s="5">
        <v>4</v>
      </c>
      <c r="D61" s="5">
        <v>4</v>
      </c>
      <c r="E61">
        <v>4</v>
      </c>
      <c r="G61">
        <v>4</v>
      </c>
      <c r="H61" s="4">
        <v>4</v>
      </c>
      <c r="I61">
        <v>2</v>
      </c>
      <c r="J61">
        <v>4</v>
      </c>
      <c r="K61">
        <v>4</v>
      </c>
      <c r="L61" s="4">
        <v>1</v>
      </c>
      <c r="M61">
        <v>4</v>
      </c>
      <c r="N61">
        <v>4</v>
      </c>
      <c r="O61">
        <v>2</v>
      </c>
      <c r="P61" s="4"/>
      <c r="Q61">
        <v>4</v>
      </c>
      <c r="R61">
        <v>4</v>
      </c>
      <c r="S61">
        <v>4</v>
      </c>
      <c r="T61">
        <v>4</v>
      </c>
      <c r="U61">
        <v>1</v>
      </c>
      <c r="V61">
        <f t="shared" si="0"/>
        <v>15.267857142857142</v>
      </c>
      <c r="W61">
        <v>15.5</v>
      </c>
    </row>
    <row r="62" spans="1:23" x14ac:dyDescent="0.45">
      <c r="A62" s="3" t="s">
        <v>113</v>
      </c>
      <c r="B62" s="3" t="s">
        <v>58</v>
      </c>
      <c r="C62">
        <v>4</v>
      </c>
      <c r="D62">
        <v>4</v>
      </c>
      <c r="E62">
        <v>2</v>
      </c>
      <c r="G62">
        <v>4</v>
      </c>
      <c r="H62" s="4">
        <v>3</v>
      </c>
      <c r="I62">
        <v>1</v>
      </c>
      <c r="J62">
        <v>4</v>
      </c>
      <c r="K62">
        <v>4</v>
      </c>
      <c r="L62" s="4">
        <v>1</v>
      </c>
      <c r="N62">
        <v>2</v>
      </c>
      <c r="P62" s="4"/>
      <c r="V62">
        <f t="shared" si="0"/>
        <v>6.9642857142857144</v>
      </c>
      <c r="W62">
        <v>7</v>
      </c>
    </row>
    <row r="63" spans="1:23" x14ac:dyDescent="0.45">
      <c r="A63" s="3" t="s">
        <v>113</v>
      </c>
      <c r="B63" s="3" t="s">
        <v>114</v>
      </c>
      <c r="C63">
        <v>4</v>
      </c>
      <c r="D63">
        <v>4</v>
      </c>
      <c r="E63">
        <v>2</v>
      </c>
      <c r="G63">
        <v>4</v>
      </c>
      <c r="H63" s="4">
        <v>4</v>
      </c>
      <c r="I63">
        <v>1</v>
      </c>
      <c r="J63">
        <v>4</v>
      </c>
      <c r="K63">
        <v>4</v>
      </c>
      <c r="L63" s="4">
        <v>1</v>
      </c>
      <c r="M63">
        <v>4</v>
      </c>
      <c r="N63">
        <v>4</v>
      </c>
      <c r="O63">
        <v>1</v>
      </c>
      <c r="P63" s="4"/>
      <c r="V63">
        <f t="shared" si="0"/>
        <v>8.5714285714285712</v>
      </c>
      <c r="W63">
        <v>8.5</v>
      </c>
    </row>
    <row r="64" spans="1:23" x14ac:dyDescent="0.45">
      <c r="A64" s="3" t="s">
        <v>115</v>
      </c>
      <c r="B64" s="3" t="s">
        <v>116</v>
      </c>
      <c r="C64">
        <v>4</v>
      </c>
      <c r="D64">
        <v>4</v>
      </c>
      <c r="E64">
        <v>2</v>
      </c>
      <c r="H64" s="4">
        <v>1</v>
      </c>
      <c r="I64">
        <v>4</v>
      </c>
      <c r="J64">
        <v>4</v>
      </c>
      <c r="K64">
        <v>2</v>
      </c>
      <c r="L64" s="4">
        <v>2</v>
      </c>
      <c r="P64" s="4"/>
      <c r="Q64">
        <v>2</v>
      </c>
      <c r="V64">
        <f t="shared" si="0"/>
        <v>6.0714285714285712</v>
      </c>
      <c r="W6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80BF-EE8D-4BBD-919C-9DAAF10EAC0E}">
  <dimension ref="A1:G62"/>
  <sheetViews>
    <sheetView tabSelected="1" workbookViewId="0">
      <selection activeCell="I60" sqref="I60"/>
    </sheetView>
  </sheetViews>
  <sheetFormatPr baseColWidth="10" defaultRowHeight="14.25" x14ac:dyDescent="0.45"/>
  <sheetData>
    <row r="1" spans="1:7" x14ac:dyDescent="0.45">
      <c r="C1" t="s">
        <v>152</v>
      </c>
      <c r="D1" t="s">
        <v>153</v>
      </c>
      <c r="E1" t="s">
        <v>154</v>
      </c>
      <c r="F1" t="s">
        <v>155</v>
      </c>
      <c r="G1" t="s">
        <v>156</v>
      </c>
    </row>
    <row r="2" spans="1:7" x14ac:dyDescent="0.45">
      <c r="A2" s="7" t="s">
        <v>0</v>
      </c>
      <c r="B2" s="7" t="s">
        <v>1</v>
      </c>
      <c r="C2">
        <v>19</v>
      </c>
      <c r="D2" s="10">
        <v>20.5</v>
      </c>
      <c r="E2">
        <f>AVERAGE(C2:D2)</f>
        <v>19.75</v>
      </c>
      <c r="F2">
        <v>15</v>
      </c>
      <c r="G2">
        <f>ROUND((2*F2+E2)/3,1)</f>
        <v>16.600000000000001</v>
      </c>
    </row>
    <row r="3" spans="1:7" x14ac:dyDescent="0.45">
      <c r="A3" s="8" t="s">
        <v>2</v>
      </c>
      <c r="B3" s="8" t="s">
        <v>3</v>
      </c>
      <c r="C3">
        <v>16.5</v>
      </c>
      <c r="D3" s="10">
        <v>20.25</v>
      </c>
      <c r="E3">
        <f t="shared" ref="E3:E62" si="0">AVERAGE(C3:D3)</f>
        <v>18.375</v>
      </c>
      <c r="F3">
        <v>14</v>
      </c>
      <c r="G3">
        <f t="shared" ref="G3:G62" si="1">ROUND((2*F3+E3)/3,1)</f>
        <v>15.5</v>
      </c>
    </row>
    <row r="4" spans="1:7" x14ac:dyDescent="0.45">
      <c r="A4" s="7" t="s">
        <v>4</v>
      </c>
      <c r="B4" s="7" t="s">
        <v>5</v>
      </c>
      <c r="C4">
        <v>13</v>
      </c>
      <c r="D4" s="10">
        <v>15.75</v>
      </c>
      <c r="E4">
        <f t="shared" si="0"/>
        <v>14.375</v>
      </c>
      <c r="F4">
        <v>15</v>
      </c>
      <c r="G4">
        <f t="shared" si="1"/>
        <v>14.8</v>
      </c>
    </row>
    <row r="5" spans="1:7" x14ac:dyDescent="0.45">
      <c r="A5" s="8" t="s">
        <v>6</v>
      </c>
      <c r="B5" s="8" t="s">
        <v>7</v>
      </c>
      <c r="C5">
        <v>14</v>
      </c>
      <c r="D5" s="10">
        <v>15.25</v>
      </c>
      <c r="E5">
        <f t="shared" si="0"/>
        <v>14.625</v>
      </c>
      <c r="F5">
        <v>11</v>
      </c>
      <c r="G5">
        <f t="shared" si="1"/>
        <v>12.2</v>
      </c>
    </row>
    <row r="6" spans="1:7" x14ac:dyDescent="0.45">
      <c r="A6" s="7" t="s">
        <v>8</v>
      </c>
      <c r="B6" s="7" t="s">
        <v>9</v>
      </c>
      <c r="C6">
        <v>14.5</v>
      </c>
      <c r="D6" s="10">
        <v>16.75</v>
      </c>
      <c r="E6">
        <f t="shared" si="0"/>
        <v>15.625</v>
      </c>
      <c r="F6">
        <v>4.5</v>
      </c>
      <c r="G6">
        <f t="shared" si="1"/>
        <v>8.1999999999999993</v>
      </c>
    </row>
    <row r="7" spans="1:7" x14ac:dyDescent="0.45">
      <c r="A7" s="8" t="s">
        <v>10</v>
      </c>
      <c r="B7" s="8" t="s">
        <v>11</v>
      </c>
      <c r="C7">
        <v>16</v>
      </c>
      <c r="D7" s="10">
        <v>15.25</v>
      </c>
      <c r="E7">
        <f t="shared" si="0"/>
        <v>15.625</v>
      </c>
      <c r="F7">
        <v>5</v>
      </c>
      <c r="G7">
        <f t="shared" si="1"/>
        <v>8.5</v>
      </c>
    </row>
    <row r="8" spans="1:7" x14ac:dyDescent="0.45">
      <c r="A8" s="7" t="s">
        <v>12</v>
      </c>
      <c r="B8" s="7" t="s">
        <v>13</v>
      </c>
      <c r="C8">
        <v>16</v>
      </c>
      <c r="D8" s="10">
        <v>17.75</v>
      </c>
      <c r="E8">
        <f t="shared" si="0"/>
        <v>16.875</v>
      </c>
      <c r="F8">
        <v>8.5</v>
      </c>
      <c r="G8">
        <f t="shared" si="1"/>
        <v>11.3</v>
      </c>
    </row>
    <row r="9" spans="1:7" x14ac:dyDescent="0.45">
      <c r="A9" s="8" t="s">
        <v>14</v>
      </c>
      <c r="B9" s="8" t="s">
        <v>15</v>
      </c>
      <c r="C9">
        <v>16</v>
      </c>
      <c r="D9" s="10">
        <v>15.25</v>
      </c>
      <c r="E9">
        <f t="shared" si="0"/>
        <v>15.625</v>
      </c>
      <c r="F9">
        <v>8</v>
      </c>
      <c r="G9">
        <f t="shared" si="1"/>
        <v>10.5</v>
      </c>
    </row>
    <row r="10" spans="1:7" x14ac:dyDescent="0.45">
      <c r="A10" s="7" t="s">
        <v>16</v>
      </c>
      <c r="B10" s="7" t="s">
        <v>17</v>
      </c>
      <c r="C10">
        <v>19</v>
      </c>
      <c r="D10" s="10">
        <v>16</v>
      </c>
      <c r="E10">
        <f t="shared" si="0"/>
        <v>17.5</v>
      </c>
      <c r="F10">
        <v>8.5</v>
      </c>
      <c r="G10">
        <f t="shared" si="1"/>
        <v>11.5</v>
      </c>
    </row>
    <row r="11" spans="1:7" x14ac:dyDescent="0.45">
      <c r="A11" s="8" t="s">
        <v>18</v>
      </c>
      <c r="B11" s="8" t="s">
        <v>19</v>
      </c>
      <c r="C11">
        <v>14</v>
      </c>
      <c r="D11" s="10">
        <v>17.75</v>
      </c>
      <c r="E11">
        <f t="shared" si="0"/>
        <v>15.875</v>
      </c>
      <c r="F11">
        <v>10</v>
      </c>
      <c r="G11">
        <f t="shared" si="1"/>
        <v>12</v>
      </c>
    </row>
    <row r="12" spans="1:7" x14ac:dyDescent="0.45">
      <c r="A12" s="7" t="s">
        <v>20</v>
      </c>
      <c r="B12" s="7" t="s">
        <v>21</v>
      </c>
      <c r="C12">
        <v>14</v>
      </c>
      <c r="D12" s="10">
        <v>15.25</v>
      </c>
      <c r="E12">
        <f t="shared" si="0"/>
        <v>14.625</v>
      </c>
      <c r="F12">
        <v>11</v>
      </c>
      <c r="G12">
        <f t="shared" si="1"/>
        <v>12.2</v>
      </c>
    </row>
    <row r="13" spans="1:7" x14ac:dyDescent="0.45">
      <c r="A13" s="8" t="s">
        <v>22</v>
      </c>
      <c r="B13" s="8" t="s">
        <v>23</v>
      </c>
      <c r="C13">
        <v>16</v>
      </c>
      <c r="D13" s="10">
        <v>16</v>
      </c>
      <c r="E13">
        <f t="shared" si="0"/>
        <v>16</v>
      </c>
      <c r="F13">
        <v>5</v>
      </c>
      <c r="G13">
        <f t="shared" si="1"/>
        <v>8.6999999999999993</v>
      </c>
    </row>
    <row r="14" spans="1:7" x14ac:dyDescent="0.45">
      <c r="A14" s="7" t="s">
        <v>24</v>
      </c>
      <c r="B14" s="7" t="s">
        <v>25</v>
      </c>
      <c r="C14">
        <v>13</v>
      </c>
      <c r="D14" s="10">
        <v>15.75</v>
      </c>
      <c r="E14">
        <f t="shared" si="0"/>
        <v>14.375</v>
      </c>
      <c r="F14">
        <v>6.5</v>
      </c>
      <c r="G14">
        <f t="shared" si="1"/>
        <v>9.1</v>
      </c>
    </row>
    <row r="15" spans="1:7" x14ac:dyDescent="0.45">
      <c r="A15" s="8" t="s">
        <v>26</v>
      </c>
      <c r="B15" s="8" t="s">
        <v>27</v>
      </c>
      <c r="C15">
        <v>10.5</v>
      </c>
      <c r="D15" s="10"/>
      <c r="E15">
        <f t="shared" si="0"/>
        <v>10.5</v>
      </c>
      <c r="F15">
        <v>10</v>
      </c>
      <c r="G15">
        <f t="shared" si="1"/>
        <v>10.199999999999999</v>
      </c>
    </row>
    <row r="16" spans="1:7" x14ac:dyDescent="0.45">
      <c r="A16" s="7" t="s">
        <v>28</v>
      </c>
      <c r="B16" s="7" t="s">
        <v>29</v>
      </c>
      <c r="C16">
        <v>15</v>
      </c>
      <c r="D16" s="10">
        <v>18.25</v>
      </c>
      <c r="E16">
        <f t="shared" si="0"/>
        <v>16.625</v>
      </c>
      <c r="F16">
        <v>11.5</v>
      </c>
      <c r="G16">
        <f t="shared" si="1"/>
        <v>13.2</v>
      </c>
    </row>
    <row r="17" spans="1:7" x14ac:dyDescent="0.45">
      <c r="A17" s="8" t="s">
        <v>30</v>
      </c>
      <c r="B17" s="8" t="s">
        <v>31</v>
      </c>
      <c r="C17">
        <v>16</v>
      </c>
      <c r="D17" s="10">
        <v>20.5</v>
      </c>
      <c r="E17">
        <f t="shared" si="0"/>
        <v>18.25</v>
      </c>
      <c r="F17">
        <v>12</v>
      </c>
      <c r="G17">
        <f t="shared" si="1"/>
        <v>14.1</v>
      </c>
    </row>
    <row r="18" spans="1:7" x14ac:dyDescent="0.45">
      <c r="A18" s="7" t="s">
        <v>32</v>
      </c>
      <c r="B18" s="7" t="s">
        <v>33</v>
      </c>
      <c r="C18">
        <v>12.5</v>
      </c>
      <c r="D18" s="10">
        <v>17.5</v>
      </c>
      <c r="E18">
        <f t="shared" si="0"/>
        <v>15</v>
      </c>
      <c r="F18">
        <v>15</v>
      </c>
      <c r="G18">
        <f t="shared" si="1"/>
        <v>15</v>
      </c>
    </row>
    <row r="19" spans="1:7" x14ac:dyDescent="0.45">
      <c r="A19" s="8" t="s">
        <v>34</v>
      </c>
      <c r="B19" s="8" t="s">
        <v>33</v>
      </c>
      <c r="C19">
        <v>11</v>
      </c>
      <c r="D19" s="10">
        <v>18</v>
      </c>
      <c r="E19">
        <f t="shared" si="0"/>
        <v>14.5</v>
      </c>
      <c r="F19">
        <v>19</v>
      </c>
      <c r="G19">
        <f t="shared" si="1"/>
        <v>17.5</v>
      </c>
    </row>
    <row r="20" spans="1:7" x14ac:dyDescent="0.45">
      <c r="A20" s="7" t="s">
        <v>35</v>
      </c>
      <c r="B20" s="7" t="s">
        <v>36</v>
      </c>
      <c r="C20">
        <v>10.5</v>
      </c>
      <c r="D20" s="10"/>
      <c r="E20">
        <f t="shared" si="0"/>
        <v>10.5</v>
      </c>
      <c r="F20">
        <v>15</v>
      </c>
      <c r="G20">
        <f t="shared" si="1"/>
        <v>13.5</v>
      </c>
    </row>
    <row r="21" spans="1:7" x14ac:dyDescent="0.45">
      <c r="A21" s="8" t="s">
        <v>37</v>
      </c>
      <c r="B21" s="8" t="s">
        <v>38</v>
      </c>
      <c r="C21">
        <v>14.5</v>
      </c>
      <c r="D21" s="10">
        <v>16.75</v>
      </c>
      <c r="E21">
        <f t="shared" si="0"/>
        <v>15.625</v>
      </c>
      <c r="F21">
        <v>11</v>
      </c>
      <c r="G21">
        <f t="shared" si="1"/>
        <v>12.5</v>
      </c>
    </row>
    <row r="22" spans="1:7" x14ac:dyDescent="0.45">
      <c r="A22" s="7" t="s">
        <v>39</v>
      </c>
      <c r="B22" s="7" t="s">
        <v>40</v>
      </c>
      <c r="D22" s="10">
        <v>15.75</v>
      </c>
      <c r="E22">
        <f t="shared" si="0"/>
        <v>15.75</v>
      </c>
      <c r="F22">
        <v>16</v>
      </c>
      <c r="G22">
        <f t="shared" si="1"/>
        <v>15.9</v>
      </c>
    </row>
    <row r="23" spans="1:7" x14ac:dyDescent="0.45">
      <c r="A23" s="8" t="s">
        <v>41</v>
      </c>
      <c r="B23" s="8" t="s">
        <v>42</v>
      </c>
      <c r="C23">
        <v>17.5</v>
      </c>
      <c r="D23" s="10">
        <v>18</v>
      </c>
      <c r="E23">
        <f t="shared" si="0"/>
        <v>17.75</v>
      </c>
      <c r="F23">
        <v>16</v>
      </c>
      <c r="G23">
        <f t="shared" si="1"/>
        <v>16.600000000000001</v>
      </c>
    </row>
    <row r="24" spans="1:7" x14ac:dyDescent="0.45">
      <c r="A24" s="7" t="s">
        <v>43</v>
      </c>
      <c r="B24" s="7" t="s">
        <v>44</v>
      </c>
      <c r="C24">
        <v>12.5</v>
      </c>
      <c r="D24" s="10">
        <v>17.5</v>
      </c>
      <c r="E24">
        <f t="shared" si="0"/>
        <v>15</v>
      </c>
      <c r="F24">
        <v>14.5</v>
      </c>
      <c r="G24">
        <f t="shared" si="1"/>
        <v>14.7</v>
      </c>
    </row>
    <row r="25" spans="1:7" x14ac:dyDescent="0.45">
      <c r="A25" s="8" t="s">
        <v>45</v>
      </c>
      <c r="B25" s="8" t="s">
        <v>46</v>
      </c>
      <c r="D25" s="10">
        <v>15.75</v>
      </c>
      <c r="E25">
        <f t="shared" si="0"/>
        <v>15.75</v>
      </c>
      <c r="F25">
        <v>12.5</v>
      </c>
      <c r="G25">
        <f t="shared" si="1"/>
        <v>13.6</v>
      </c>
    </row>
    <row r="26" spans="1:7" x14ac:dyDescent="0.45">
      <c r="A26" s="7" t="s">
        <v>47</v>
      </c>
      <c r="B26" s="7" t="s">
        <v>48</v>
      </c>
      <c r="C26">
        <v>17.5</v>
      </c>
      <c r="D26" s="10">
        <v>18</v>
      </c>
      <c r="E26">
        <f t="shared" si="0"/>
        <v>17.75</v>
      </c>
      <c r="F26">
        <v>15.5</v>
      </c>
      <c r="G26">
        <f t="shared" si="1"/>
        <v>16.3</v>
      </c>
    </row>
    <row r="27" spans="1:7" x14ac:dyDescent="0.45">
      <c r="A27" s="8" t="s">
        <v>49</v>
      </c>
      <c r="B27" s="8" t="s">
        <v>50</v>
      </c>
      <c r="C27">
        <v>11</v>
      </c>
      <c r="D27" s="10">
        <v>18</v>
      </c>
      <c r="E27">
        <f t="shared" si="0"/>
        <v>14.5</v>
      </c>
      <c r="F27">
        <v>14.5</v>
      </c>
      <c r="G27">
        <f t="shared" si="1"/>
        <v>14.5</v>
      </c>
    </row>
    <row r="28" spans="1:7" x14ac:dyDescent="0.45">
      <c r="A28" s="7" t="s">
        <v>51</v>
      </c>
      <c r="B28" s="7" t="s">
        <v>52</v>
      </c>
      <c r="C28">
        <v>15</v>
      </c>
      <c r="D28" s="10">
        <v>18.25</v>
      </c>
      <c r="E28">
        <f t="shared" si="0"/>
        <v>16.625</v>
      </c>
      <c r="F28">
        <v>15</v>
      </c>
      <c r="G28">
        <f t="shared" si="1"/>
        <v>15.5</v>
      </c>
    </row>
    <row r="29" spans="1:7" x14ac:dyDescent="0.45">
      <c r="A29" s="8" t="s">
        <v>53</v>
      </c>
      <c r="B29" s="8" t="s">
        <v>54</v>
      </c>
      <c r="C29">
        <v>14</v>
      </c>
      <c r="D29" s="10">
        <v>17.75</v>
      </c>
      <c r="E29">
        <f t="shared" si="0"/>
        <v>15.875</v>
      </c>
      <c r="F29">
        <v>13</v>
      </c>
      <c r="G29">
        <f t="shared" si="1"/>
        <v>14</v>
      </c>
    </row>
    <row r="30" spans="1:7" x14ac:dyDescent="0.45">
      <c r="A30" s="7" t="s">
        <v>55</v>
      </c>
      <c r="B30" s="7" t="s">
        <v>56</v>
      </c>
      <c r="C30">
        <v>16.5</v>
      </c>
      <c r="D30" s="10">
        <v>20.25</v>
      </c>
      <c r="E30">
        <f t="shared" si="0"/>
        <v>18.375</v>
      </c>
      <c r="F30">
        <v>13</v>
      </c>
      <c r="G30">
        <f t="shared" si="1"/>
        <v>14.8</v>
      </c>
    </row>
    <row r="31" spans="1:7" x14ac:dyDescent="0.45">
      <c r="A31" s="8" t="s">
        <v>57</v>
      </c>
      <c r="B31" s="8" t="s">
        <v>58</v>
      </c>
      <c r="C31">
        <v>16</v>
      </c>
      <c r="D31" s="10">
        <v>17.75</v>
      </c>
      <c r="E31">
        <f t="shared" si="0"/>
        <v>16.875</v>
      </c>
      <c r="F31">
        <v>8</v>
      </c>
      <c r="G31">
        <f t="shared" si="1"/>
        <v>11</v>
      </c>
    </row>
    <row r="32" spans="1:7" x14ac:dyDescent="0.45">
      <c r="A32" s="7" t="s">
        <v>59</v>
      </c>
      <c r="B32" s="7" t="s">
        <v>60</v>
      </c>
      <c r="C32">
        <v>15</v>
      </c>
      <c r="D32" s="10">
        <v>19</v>
      </c>
      <c r="E32">
        <f t="shared" si="0"/>
        <v>17</v>
      </c>
      <c r="F32">
        <v>15</v>
      </c>
      <c r="G32">
        <f t="shared" si="1"/>
        <v>15.7</v>
      </c>
    </row>
    <row r="33" spans="1:7" x14ac:dyDescent="0.45">
      <c r="A33" s="8" t="s">
        <v>61</v>
      </c>
      <c r="B33" s="8" t="s">
        <v>62</v>
      </c>
      <c r="C33">
        <v>11.5</v>
      </c>
      <c r="D33" s="10">
        <v>15.75</v>
      </c>
      <c r="E33">
        <f t="shared" si="0"/>
        <v>13.625</v>
      </c>
      <c r="F33">
        <v>13.5</v>
      </c>
      <c r="G33">
        <f t="shared" si="1"/>
        <v>13.5</v>
      </c>
    </row>
    <row r="34" spans="1:7" x14ac:dyDescent="0.45">
      <c r="A34" s="7" t="s">
        <v>63</v>
      </c>
      <c r="B34" s="7" t="s">
        <v>64</v>
      </c>
      <c r="C34">
        <v>17</v>
      </c>
      <c r="D34" s="10">
        <v>18.5</v>
      </c>
      <c r="E34">
        <f t="shared" si="0"/>
        <v>17.75</v>
      </c>
      <c r="F34">
        <v>13.5</v>
      </c>
      <c r="G34">
        <f t="shared" si="1"/>
        <v>14.9</v>
      </c>
    </row>
    <row r="35" spans="1:7" x14ac:dyDescent="0.45">
      <c r="A35" s="8" t="s">
        <v>65</v>
      </c>
      <c r="B35" s="8" t="s">
        <v>66</v>
      </c>
      <c r="C35">
        <v>15.5</v>
      </c>
      <c r="D35" s="10">
        <v>14.5</v>
      </c>
      <c r="E35">
        <f t="shared" si="0"/>
        <v>15</v>
      </c>
      <c r="F35">
        <v>10.5</v>
      </c>
      <c r="G35">
        <f t="shared" si="1"/>
        <v>12</v>
      </c>
    </row>
    <row r="36" spans="1:7" x14ac:dyDescent="0.45">
      <c r="A36" s="7" t="s">
        <v>67</v>
      </c>
      <c r="B36" s="7" t="s">
        <v>68</v>
      </c>
      <c r="C36">
        <v>14.5</v>
      </c>
      <c r="D36" s="10">
        <v>18.75</v>
      </c>
      <c r="E36">
        <f t="shared" si="0"/>
        <v>16.625</v>
      </c>
      <c r="F36">
        <v>14</v>
      </c>
      <c r="G36">
        <f t="shared" si="1"/>
        <v>14.9</v>
      </c>
    </row>
    <row r="37" spans="1:7" x14ac:dyDescent="0.45">
      <c r="A37" s="8" t="s">
        <v>69</v>
      </c>
      <c r="B37" s="8" t="s">
        <v>70</v>
      </c>
      <c r="C37">
        <v>14.5</v>
      </c>
      <c r="D37" s="10">
        <v>18.75</v>
      </c>
      <c r="E37">
        <f t="shared" si="0"/>
        <v>16.625</v>
      </c>
      <c r="F37">
        <v>12</v>
      </c>
      <c r="G37">
        <f t="shared" si="1"/>
        <v>13.5</v>
      </c>
    </row>
    <row r="38" spans="1:7" x14ac:dyDescent="0.45">
      <c r="A38" s="7" t="s">
        <v>71</v>
      </c>
      <c r="B38" s="7" t="s">
        <v>72</v>
      </c>
      <c r="C38">
        <v>17</v>
      </c>
      <c r="D38" s="10">
        <v>19.75</v>
      </c>
      <c r="E38">
        <f t="shared" si="0"/>
        <v>18.375</v>
      </c>
      <c r="F38">
        <v>12.5</v>
      </c>
      <c r="G38">
        <f t="shared" si="1"/>
        <v>14.5</v>
      </c>
    </row>
    <row r="39" spans="1:7" x14ac:dyDescent="0.45">
      <c r="A39" s="8" t="s">
        <v>73</v>
      </c>
      <c r="B39" s="8" t="s">
        <v>74</v>
      </c>
      <c r="C39">
        <v>13.5</v>
      </c>
      <c r="D39" s="10">
        <v>20.25</v>
      </c>
      <c r="E39">
        <f t="shared" si="0"/>
        <v>16.875</v>
      </c>
      <c r="F39">
        <v>15</v>
      </c>
      <c r="G39">
        <f t="shared" si="1"/>
        <v>15.6</v>
      </c>
    </row>
    <row r="40" spans="1:7" x14ac:dyDescent="0.45">
      <c r="A40" s="7" t="s">
        <v>75</v>
      </c>
      <c r="B40" s="7" t="s">
        <v>48</v>
      </c>
      <c r="C40">
        <v>15</v>
      </c>
      <c r="D40" s="10">
        <v>18</v>
      </c>
      <c r="E40">
        <f t="shared" si="0"/>
        <v>16.5</v>
      </c>
      <c r="F40">
        <v>6</v>
      </c>
      <c r="G40">
        <f t="shared" si="1"/>
        <v>9.5</v>
      </c>
    </row>
    <row r="41" spans="1:7" x14ac:dyDescent="0.45">
      <c r="A41" s="8" t="s">
        <v>76</v>
      </c>
      <c r="B41" s="8" t="s">
        <v>77</v>
      </c>
      <c r="C41">
        <v>18</v>
      </c>
      <c r="D41" s="10">
        <v>18.5</v>
      </c>
      <c r="E41">
        <f t="shared" si="0"/>
        <v>18.25</v>
      </c>
      <c r="F41">
        <v>17</v>
      </c>
      <c r="G41">
        <f t="shared" si="1"/>
        <v>17.399999999999999</v>
      </c>
    </row>
    <row r="42" spans="1:7" x14ac:dyDescent="0.45">
      <c r="A42" s="7" t="s">
        <v>78</v>
      </c>
      <c r="B42" s="7" t="s">
        <v>79</v>
      </c>
      <c r="C42">
        <v>8</v>
      </c>
      <c r="D42" s="10">
        <v>15</v>
      </c>
      <c r="E42">
        <f t="shared" si="0"/>
        <v>11.5</v>
      </c>
      <c r="F42">
        <v>13</v>
      </c>
      <c r="G42">
        <f t="shared" si="1"/>
        <v>12.5</v>
      </c>
    </row>
    <row r="43" spans="1:7" x14ac:dyDescent="0.45">
      <c r="A43" s="8" t="s">
        <v>80</v>
      </c>
      <c r="B43" s="8" t="s">
        <v>81</v>
      </c>
      <c r="C43">
        <v>17</v>
      </c>
      <c r="D43" s="10">
        <v>17.5</v>
      </c>
      <c r="E43">
        <f t="shared" si="0"/>
        <v>17.25</v>
      </c>
      <c r="F43">
        <v>15.5</v>
      </c>
      <c r="G43">
        <f t="shared" si="1"/>
        <v>16.100000000000001</v>
      </c>
    </row>
    <row r="44" spans="1:7" x14ac:dyDescent="0.45">
      <c r="A44" s="7" t="s">
        <v>82</v>
      </c>
      <c r="B44" s="7" t="s">
        <v>83</v>
      </c>
      <c r="C44">
        <v>16</v>
      </c>
      <c r="D44" s="10">
        <v>18.5</v>
      </c>
      <c r="E44">
        <f t="shared" si="0"/>
        <v>17.25</v>
      </c>
      <c r="F44">
        <v>10</v>
      </c>
      <c r="G44">
        <f t="shared" si="1"/>
        <v>12.4</v>
      </c>
    </row>
    <row r="45" spans="1:7" x14ac:dyDescent="0.45">
      <c r="A45" s="8" t="s">
        <v>84</v>
      </c>
      <c r="B45" s="8" t="s">
        <v>85</v>
      </c>
      <c r="C45">
        <v>15.5</v>
      </c>
      <c r="D45" s="10">
        <v>16</v>
      </c>
      <c r="E45">
        <f t="shared" si="0"/>
        <v>15.75</v>
      </c>
      <c r="F45">
        <v>6.5</v>
      </c>
      <c r="G45">
        <f t="shared" si="1"/>
        <v>9.6</v>
      </c>
    </row>
    <row r="46" spans="1:7" x14ac:dyDescent="0.45">
      <c r="A46" s="7" t="s">
        <v>86</v>
      </c>
      <c r="B46" s="7" t="s">
        <v>87</v>
      </c>
      <c r="C46">
        <v>15</v>
      </c>
      <c r="D46" s="10">
        <v>18</v>
      </c>
      <c r="E46">
        <f t="shared" si="0"/>
        <v>16.5</v>
      </c>
      <c r="F46">
        <v>10.5</v>
      </c>
      <c r="G46">
        <f t="shared" si="1"/>
        <v>12.5</v>
      </c>
    </row>
    <row r="47" spans="1:7" x14ac:dyDescent="0.45">
      <c r="A47" s="8" t="s">
        <v>88</v>
      </c>
      <c r="B47" s="8" t="s">
        <v>89</v>
      </c>
      <c r="C47">
        <v>12.5</v>
      </c>
      <c r="D47" s="10">
        <v>17.25</v>
      </c>
      <c r="E47">
        <f t="shared" si="0"/>
        <v>14.875</v>
      </c>
      <c r="F47">
        <v>7.5</v>
      </c>
      <c r="G47">
        <f t="shared" si="1"/>
        <v>10</v>
      </c>
    </row>
    <row r="48" spans="1:7" x14ac:dyDescent="0.45">
      <c r="A48" s="7" t="s">
        <v>90</v>
      </c>
      <c r="B48" s="7" t="s">
        <v>91</v>
      </c>
      <c r="C48">
        <v>12</v>
      </c>
      <c r="D48" s="10">
        <v>14.5</v>
      </c>
      <c r="E48">
        <f t="shared" si="0"/>
        <v>13.25</v>
      </c>
      <c r="F48">
        <v>12.5</v>
      </c>
      <c r="G48">
        <f t="shared" si="1"/>
        <v>12.8</v>
      </c>
    </row>
    <row r="49" spans="1:7" x14ac:dyDescent="0.45">
      <c r="A49" s="8" t="s">
        <v>92</v>
      </c>
      <c r="B49" s="8" t="s">
        <v>93</v>
      </c>
      <c r="C49">
        <v>11.5</v>
      </c>
      <c r="D49" s="10">
        <v>17.5</v>
      </c>
      <c r="E49">
        <f t="shared" si="0"/>
        <v>14.5</v>
      </c>
      <c r="F49">
        <v>10</v>
      </c>
      <c r="G49">
        <f t="shared" si="1"/>
        <v>11.5</v>
      </c>
    </row>
    <row r="50" spans="1:7" x14ac:dyDescent="0.45">
      <c r="A50" s="7" t="s">
        <v>94</v>
      </c>
      <c r="B50" s="7" t="s">
        <v>95</v>
      </c>
      <c r="C50">
        <v>15</v>
      </c>
      <c r="D50" s="10">
        <v>19</v>
      </c>
      <c r="E50">
        <f t="shared" si="0"/>
        <v>17</v>
      </c>
      <c r="F50">
        <v>13.5</v>
      </c>
      <c r="G50">
        <f t="shared" si="1"/>
        <v>14.7</v>
      </c>
    </row>
    <row r="51" spans="1:7" x14ac:dyDescent="0.45">
      <c r="A51" s="8" t="s">
        <v>96</v>
      </c>
      <c r="B51" s="8" t="s">
        <v>97</v>
      </c>
      <c r="C51">
        <v>18</v>
      </c>
      <c r="D51" s="10">
        <v>18.5</v>
      </c>
      <c r="E51">
        <f t="shared" si="0"/>
        <v>18.25</v>
      </c>
      <c r="F51">
        <v>15</v>
      </c>
      <c r="G51">
        <f t="shared" si="1"/>
        <v>16.100000000000001</v>
      </c>
    </row>
    <row r="52" spans="1:7" x14ac:dyDescent="0.45">
      <c r="A52" s="7" t="s">
        <v>98</v>
      </c>
      <c r="B52" s="7" t="s">
        <v>99</v>
      </c>
      <c r="C52">
        <v>17</v>
      </c>
      <c r="D52" s="10">
        <v>18.5</v>
      </c>
      <c r="E52">
        <f t="shared" si="0"/>
        <v>17.75</v>
      </c>
      <c r="F52">
        <v>7</v>
      </c>
      <c r="G52">
        <f t="shared" si="1"/>
        <v>10.6</v>
      </c>
    </row>
    <row r="53" spans="1:7" x14ac:dyDescent="0.45">
      <c r="A53" s="8" t="s">
        <v>100</v>
      </c>
      <c r="B53" s="8" t="s">
        <v>64</v>
      </c>
      <c r="C53">
        <v>11.5</v>
      </c>
      <c r="D53" s="10">
        <v>15.75</v>
      </c>
      <c r="E53">
        <f t="shared" si="0"/>
        <v>13.625</v>
      </c>
      <c r="F53">
        <v>9.5</v>
      </c>
      <c r="G53">
        <f t="shared" si="1"/>
        <v>10.9</v>
      </c>
    </row>
    <row r="54" spans="1:7" x14ac:dyDescent="0.45">
      <c r="A54" s="7" t="s">
        <v>101</v>
      </c>
      <c r="B54" s="7" t="s">
        <v>102</v>
      </c>
      <c r="C54">
        <v>14</v>
      </c>
      <c r="D54" s="10"/>
      <c r="E54">
        <f t="shared" si="0"/>
        <v>14</v>
      </c>
      <c r="F54">
        <v>13.5</v>
      </c>
      <c r="G54">
        <f t="shared" si="1"/>
        <v>13.7</v>
      </c>
    </row>
    <row r="55" spans="1:7" x14ac:dyDescent="0.45">
      <c r="A55" s="8" t="s">
        <v>103</v>
      </c>
      <c r="B55" s="8" t="s">
        <v>104</v>
      </c>
      <c r="C55">
        <v>16</v>
      </c>
      <c r="D55" s="10">
        <v>18.5</v>
      </c>
      <c r="E55">
        <f t="shared" si="0"/>
        <v>17.25</v>
      </c>
      <c r="F55">
        <v>8.5</v>
      </c>
      <c r="G55">
        <f t="shared" si="1"/>
        <v>11.4</v>
      </c>
    </row>
    <row r="56" spans="1:7" x14ac:dyDescent="0.45">
      <c r="A56" s="7" t="s">
        <v>105</v>
      </c>
      <c r="B56" s="7" t="s">
        <v>106</v>
      </c>
      <c r="C56">
        <v>12.5</v>
      </c>
      <c r="D56" s="10">
        <v>17.25</v>
      </c>
      <c r="E56">
        <f t="shared" si="0"/>
        <v>14.875</v>
      </c>
      <c r="F56">
        <v>15.5</v>
      </c>
      <c r="G56">
        <f t="shared" si="1"/>
        <v>15.3</v>
      </c>
    </row>
    <row r="57" spans="1:7" x14ac:dyDescent="0.45">
      <c r="A57" s="8" t="s">
        <v>107</v>
      </c>
      <c r="B57" s="8" t="s">
        <v>108</v>
      </c>
      <c r="C57">
        <v>18</v>
      </c>
      <c r="D57" s="10">
        <v>17.5</v>
      </c>
      <c r="E57">
        <f t="shared" si="0"/>
        <v>17.75</v>
      </c>
      <c r="F57">
        <v>8</v>
      </c>
      <c r="G57">
        <f t="shared" si="1"/>
        <v>11.3</v>
      </c>
    </row>
    <row r="58" spans="1:7" x14ac:dyDescent="0.45">
      <c r="A58" s="7" t="s">
        <v>109</v>
      </c>
      <c r="B58" s="7" t="s">
        <v>110</v>
      </c>
      <c r="C58">
        <v>10</v>
      </c>
      <c r="D58" s="10">
        <v>15</v>
      </c>
      <c r="E58">
        <f t="shared" si="0"/>
        <v>12.5</v>
      </c>
      <c r="F58">
        <v>14.5</v>
      </c>
      <c r="G58">
        <f t="shared" si="1"/>
        <v>13.8</v>
      </c>
    </row>
    <row r="59" spans="1:7" x14ac:dyDescent="0.45">
      <c r="A59" s="8" t="s">
        <v>111</v>
      </c>
      <c r="B59" s="8" t="s">
        <v>112</v>
      </c>
      <c r="C59">
        <v>14</v>
      </c>
      <c r="D59" s="10"/>
      <c r="E59">
        <f t="shared" si="0"/>
        <v>14</v>
      </c>
      <c r="F59">
        <v>15.5</v>
      </c>
      <c r="G59">
        <f t="shared" si="1"/>
        <v>15</v>
      </c>
    </row>
    <row r="60" spans="1:7" x14ac:dyDescent="0.45">
      <c r="A60" s="7" t="s">
        <v>113</v>
      </c>
      <c r="B60" s="7" t="s">
        <v>58</v>
      </c>
      <c r="C60">
        <v>15.5</v>
      </c>
      <c r="D60" s="10">
        <v>14</v>
      </c>
      <c r="E60">
        <f t="shared" si="0"/>
        <v>14.75</v>
      </c>
      <c r="F60">
        <v>7</v>
      </c>
      <c r="G60">
        <f t="shared" si="1"/>
        <v>9.6</v>
      </c>
    </row>
    <row r="61" spans="1:7" x14ac:dyDescent="0.45">
      <c r="A61" s="8" t="s">
        <v>113</v>
      </c>
      <c r="B61" s="8" t="s">
        <v>114</v>
      </c>
      <c r="C61">
        <v>15.5</v>
      </c>
      <c r="D61" s="10">
        <v>14</v>
      </c>
      <c r="E61">
        <f t="shared" si="0"/>
        <v>14.75</v>
      </c>
      <c r="F61">
        <v>8.5</v>
      </c>
      <c r="G61">
        <f t="shared" si="1"/>
        <v>10.6</v>
      </c>
    </row>
    <row r="62" spans="1:7" x14ac:dyDescent="0.45">
      <c r="A62" s="7" t="s">
        <v>115</v>
      </c>
      <c r="B62" s="7" t="s">
        <v>116</v>
      </c>
      <c r="C62">
        <v>17</v>
      </c>
      <c r="D62" s="10">
        <v>17.5</v>
      </c>
      <c r="E62">
        <f t="shared" si="0"/>
        <v>17.25</v>
      </c>
      <c r="F62">
        <v>6</v>
      </c>
      <c r="G62">
        <f t="shared" si="1"/>
        <v>9.8000000000000007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BA9D-640F-459D-878A-39FC4A1C77B5}">
  <dimension ref="A1:U64"/>
  <sheetViews>
    <sheetView topLeftCell="A36" workbookViewId="0">
      <selection activeCell="U3" sqref="U3:U63"/>
    </sheetView>
  </sheetViews>
  <sheetFormatPr baseColWidth="10" defaultRowHeight="14.25" x14ac:dyDescent="0.45"/>
  <sheetData>
    <row r="1" spans="1:21" x14ac:dyDescent="0.45">
      <c r="A1" s="6" t="s">
        <v>136</v>
      </c>
      <c r="B1" s="6" t="s">
        <v>137</v>
      </c>
      <c r="C1" s="6" t="s">
        <v>138</v>
      </c>
      <c r="D1" s="6" t="s">
        <v>139</v>
      </c>
      <c r="E1" s="6" t="s">
        <v>118</v>
      </c>
      <c r="F1" s="6" t="s">
        <v>119</v>
      </c>
      <c r="G1" s="6" t="s">
        <v>120</v>
      </c>
      <c r="H1" s="6" t="s">
        <v>140</v>
      </c>
      <c r="I1" s="6" t="s">
        <v>124</v>
      </c>
      <c r="J1" s="6" t="s">
        <v>141</v>
      </c>
      <c r="K1" s="6" t="s">
        <v>142</v>
      </c>
      <c r="L1" s="6" t="s">
        <v>128</v>
      </c>
      <c r="M1" s="6" t="s">
        <v>129</v>
      </c>
      <c r="N1" s="6" t="s">
        <v>130</v>
      </c>
      <c r="O1" s="6" t="s">
        <v>143</v>
      </c>
      <c r="P1" s="6" t="s">
        <v>132</v>
      </c>
      <c r="Q1" s="6" t="s">
        <v>133</v>
      </c>
      <c r="R1" s="6" t="s">
        <v>144</v>
      </c>
      <c r="S1" s="6" t="s">
        <v>145</v>
      </c>
      <c r="T1" s="6" t="s">
        <v>146</v>
      </c>
      <c r="U1" s="6" t="s">
        <v>147</v>
      </c>
    </row>
    <row r="2" spans="1:21" ht="15.75" x14ac:dyDescent="0.5">
      <c r="A2" s="8"/>
      <c r="B2" s="8"/>
      <c r="C2" s="8" t="s">
        <v>148</v>
      </c>
      <c r="D2" s="9">
        <v>1.5</v>
      </c>
      <c r="E2" s="9">
        <v>1</v>
      </c>
      <c r="F2" s="9">
        <v>1</v>
      </c>
      <c r="G2" s="9">
        <v>0.5</v>
      </c>
      <c r="H2" s="9">
        <v>2</v>
      </c>
      <c r="I2" s="9">
        <v>1</v>
      </c>
      <c r="J2" s="9">
        <v>1</v>
      </c>
      <c r="K2" s="9">
        <v>2</v>
      </c>
      <c r="L2" s="9">
        <v>1.5</v>
      </c>
      <c r="M2" s="9">
        <v>1.5</v>
      </c>
      <c r="N2" s="9">
        <v>1</v>
      </c>
      <c r="O2" s="9">
        <v>1.5</v>
      </c>
      <c r="P2" s="9">
        <v>1.5</v>
      </c>
      <c r="Q2" s="9">
        <v>1</v>
      </c>
      <c r="R2" s="9">
        <v>1.5</v>
      </c>
      <c r="S2" s="9">
        <v>1</v>
      </c>
      <c r="T2" s="9">
        <v>0.5</v>
      </c>
      <c r="U2" s="8">
        <v>21</v>
      </c>
    </row>
    <row r="3" spans="1:21" x14ac:dyDescent="0.45">
      <c r="A3" s="7" t="s">
        <v>0</v>
      </c>
      <c r="B3" s="7" t="s">
        <v>1</v>
      </c>
      <c r="C3" s="7" t="s">
        <v>149</v>
      </c>
      <c r="D3" s="7">
        <v>1.5</v>
      </c>
      <c r="E3" s="7">
        <v>1</v>
      </c>
      <c r="F3" s="7">
        <v>1</v>
      </c>
      <c r="G3" s="7">
        <v>0.5</v>
      </c>
      <c r="H3" s="7">
        <v>2</v>
      </c>
      <c r="I3" s="7">
        <v>1</v>
      </c>
      <c r="J3" s="7">
        <v>1</v>
      </c>
      <c r="K3" s="7">
        <v>2</v>
      </c>
      <c r="L3" s="7">
        <v>1.5</v>
      </c>
      <c r="M3" s="7">
        <v>1.5</v>
      </c>
      <c r="N3" s="7">
        <v>1</v>
      </c>
      <c r="O3" s="7">
        <v>1</v>
      </c>
      <c r="P3" s="7">
        <v>1.5</v>
      </c>
      <c r="Q3" s="7">
        <v>1</v>
      </c>
      <c r="R3" s="7">
        <v>1.5</v>
      </c>
      <c r="S3" s="7">
        <v>1</v>
      </c>
      <c r="T3" s="7">
        <v>0.5</v>
      </c>
      <c r="U3" s="7">
        <v>20.5</v>
      </c>
    </row>
    <row r="4" spans="1:21" x14ac:dyDescent="0.45">
      <c r="A4" s="8" t="s">
        <v>2</v>
      </c>
      <c r="B4" s="8" t="s">
        <v>3</v>
      </c>
      <c r="C4" s="8" t="s">
        <v>149</v>
      </c>
      <c r="D4" s="8">
        <v>1.5</v>
      </c>
      <c r="E4" s="8">
        <v>1</v>
      </c>
      <c r="F4" s="8">
        <v>1</v>
      </c>
      <c r="G4" s="8">
        <v>0.5</v>
      </c>
      <c r="H4" s="8">
        <v>2</v>
      </c>
      <c r="I4" s="8">
        <v>1</v>
      </c>
      <c r="J4" s="8">
        <v>1</v>
      </c>
      <c r="K4" s="8">
        <v>2</v>
      </c>
      <c r="L4" s="8">
        <v>1.5</v>
      </c>
      <c r="M4" s="8">
        <v>1.5</v>
      </c>
      <c r="N4" s="8">
        <v>0.5</v>
      </c>
      <c r="O4" s="8">
        <v>1.5</v>
      </c>
      <c r="P4" s="8">
        <v>1.5</v>
      </c>
      <c r="Q4" s="8">
        <v>1</v>
      </c>
      <c r="R4" s="8">
        <v>1.5</v>
      </c>
      <c r="S4" s="8">
        <v>1</v>
      </c>
      <c r="T4" s="8">
        <v>0.25</v>
      </c>
      <c r="U4" s="8">
        <v>20.25</v>
      </c>
    </row>
    <row r="5" spans="1:21" x14ac:dyDescent="0.45">
      <c r="A5" s="7" t="s">
        <v>4</v>
      </c>
      <c r="B5" s="7" t="s">
        <v>5</v>
      </c>
      <c r="C5" s="7" t="s">
        <v>149</v>
      </c>
      <c r="D5" s="7">
        <v>1.5</v>
      </c>
      <c r="E5" s="7">
        <v>1</v>
      </c>
      <c r="F5" s="7">
        <v>1</v>
      </c>
      <c r="G5" s="7">
        <v>0.25</v>
      </c>
      <c r="H5" s="7">
        <v>2</v>
      </c>
      <c r="I5" s="7">
        <v>1</v>
      </c>
      <c r="J5" s="7">
        <v>1</v>
      </c>
      <c r="K5" s="7">
        <v>2</v>
      </c>
      <c r="L5" s="7">
        <v>1.5</v>
      </c>
      <c r="M5" s="7">
        <v>0.5</v>
      </c>
      <c r="N5" s="7">
        <v>0</v>
      </c>
      <c r="O5" s="7">
        <v>0.5</v>
      </c>
      <c r="P5" s="7">
        <v>1.5</v>
      </c>
      <c r="Q5" s="7">
        <v>0.25</v>
      </c>
      <c r="R5" s="7">
        <v>1</v>
      </c>
      <c r="S5" s="7">
        <v>0.5</v>
      </c>
      <c r="T5" s="7">
        <v>0.25</v>
      </c>
      <c r="U5" s="7">
        <v>15.75</v>
      </c>
    </row>
    <row r="6" spans="1:21" x14ac:dyDescent="0.45">
      <c r="A6" s="8" t="s">
        <v>6</v>
      </c>
      <c r="B6" s="8" t="s">
        <v>7</v>
      </c>
      <c r="C6" s="8" t="s">
        <v>149</v>
      </c>
      <c r="D6" s="8">
        <v>1.5</v>
      </c>
      <c r="E6" s="8">
        <v>1</v>
      </c>
      <c r="F6" s="8">
        <v>1</v>
      </c>
      <c r="G6" s="8">
        <v>0.5</v>
      </c>
      <c r="H6" s="8">
        <v>2</v>
      </c>
      <c r="I6" s="8">
        <v>1</v>
      </c>
      <c r="J6" s="8">
        <v>1</v>
      </c>
      <c r="K6" s="8">
        <v>2</v>
      </c>
      <c r="L6" s="8">
        <v>1.5</v>
      </c>
      <c r="M6" s="8">
        <v>0.5</v>
      </c>
      <c r="N6" s="8">
        <v>0</v>
      </c>
      <c r="O6" s="8">
        <v>0.5</v>
      </c>
      <c r="P6" s="8">
        <v>0.5</v>
      </c>
      <c r="Q6" s="8">
        <v>0.75</v>
      </c>
      <c r="R6" s="8">
        <v>0.5</v>
      </c>
      <c r="S6" s="8">
        <v>1</v>
      </c>
      <c r="T6" s="8">
        <v>0</v>
      </c>
      <c r="U6" s="8">
        <v>15.25</v>
      </c>
    </row>
    <row r="7" spans="1:21" x14ac:dyDescent="0.45">
      <c r="A7" s="7" t="s">
        <v>8</v>
      </c>
      <c r="B7" s="7" t="s">
        <v>9</v>
      </c>
      <c r="C7" s="7" t="s">
        <v>149</v>
      </c>
      <c r="D7" s="7">
        <v>1.5</v>
      </c>
      <c r="E7" s="7">
        <v>1</v>
      </c>
      <c r="F7" s="7">
        <v>1</v>
      </c>
      <c r="G7" s="7">
        <v>0.25</v>
      </c>
      <c r="H7" s="7">
        <v>2</v>
      </c>
      <c r="I7" s="7">
        <v>1</v>
      </c>
      <c r="J7" s="7">
        <v>1</v>
      </c>
      <c r="K7" s="7">
        <v>2</v>
      </c>
      <c r="L7" s="7">
        <v>1.5</v>
      </c>
      <c r="M7" s="7">
        <v>0.5</v>
      </c>
      <c r="N7" s="7">
        <v>0.5</v>
      </c>
      <c r="O7" s="7">
        <v>1.5</v>
      </c>
      <c r="P7" s="7">
        <v>1.5</v>
      </c>
      <c r="Q7" s="7">
        <v>1</v>
      </c>
      <c r="R7" s="7">
        <v>0</v>
      </c>
      <c r="S7" s="7">
        <v>0.5</v>
      </c>
      <c r="T7" s="7">
        <v>0</v>
      </c>
      <c r="U7" s="7">
        <v>16.75</v>
      </c>
    </row>
    <row r="8" spans="1:21" x14ac:dyDescent="0.45">
      <c r="A8" s="8" t="s">
        <v>10</v>
      </c>
      <c r="B8" s="8" t="s">
        <v>11</v>
      </c>
      <c r="C8" s="8" t="s">
        <v>149</v>
      </c>
      <c r="D8" s="8">
        <v>1.5</v>
      </c>
      <c r="E8" s="8">
        <v>1</v>
      </c>
      <c r="F8" s="8">
        <v>1</v>
      </c>
      <c r="G8" s="8">
        <v>0.5</v>
      </c>
      <c r="H8" s="8">
        <v>2</v>
      </c>
      <c r="I8" s="8">
        <v>1</v>
      </c>
      <c r="J8" s="8">
        <v>1</v>
      </c>
      <c r="K8" s="8">
        <v>2</v>
      </c>
      <c r="L8" s="8">
        <v>1.5</v>
      </c>
      <c r="M8" s="8">
        <v>0.5</v>
      </c>
      <c r="N8" s="8">
        <v>0</v>
      </c>
      <c r="O8" s="8">
        <v>0.5</v>
      </c>
      <c r="P8" s="8">
        <v>0.5</v>
      </c>
      <c r="Q8" s="8">
        <v>0.75</v>
      </c>
      <c r="R8" s="8">
        <v>0.5</v>
      </c>
      <c r="S8" s="8">
        <v>1</v>
      </c>
      <c r="T8" s="8">
        <v>0</v>
      </c>
      <c r="U8" s="8">
        <v>15.25</v>
      </c>
    </row>
    <row r="9" spans="1:21" x14ac:dyDescent="0.45">
      <c r="A9" s="7" t="s">
        <v>12</v>
      </c>
      <c r="B9" s="7" t="s">
        <v>13</v>
      </c>
      <c r="C9" s="7" t="s">
        <v>149</v>
      </c>
      <c r="D9" s="7">
        <v>1.5</v>
      </c>
      <c r="E9" s="7">
        <v>1</v>
      </c>
      <c r="F9" s="7">
        <v>1</v>
      </c>
      <c r="G9" s="7">
        <v>0.5</v>
      </c>
      <c r="H9" s="7">
        <v>2</v>
      </c>
      <c r="I9" s="7">
        <v>1</v>
      </c>
      <c r="J9" s="7">
        <v>1</v>
      </c>
      <c r="K9" s="7">
        <v>2</v>
      </c>
      <c r="L9" s="7">
        <v>1.5</v>
      </c>
      <c r="M9" s="7">
        <v>0.5</v>
      </c>
      <c r="N9" s="7">
        <v>0</v>
      </c>
      <c r="O9" s="7">
        <v>1</v>
      </c>
      <c r="P9" s="7">
        <v>1.5</v>
      </c>
      <c r="Q9" s="7">
        <v>0.75</v>
      </c>
      <c r="R9" s="7">
        <v>1.5</v>
      </c>
      <c r="S9" s="7">
        <v>0.5</v>
      </c>
      <c r="T9" s="7">
        <v>0.5</v>
      </c>
      <c r="U9" s="7">
        <v>17.75</v>
      </c>
    </row>
    <row r="10" spans="1:21" x14ac:dyDescent="0.45">
      <c r="A10" s="8" t="s">
        <v>14</v>
      </c>
      <c r="B10" s="8" t="s">
        <v>15</v>
      </c>
      <c r="C10" s="8" t="s">
        <v>149</v>
      </c>
      <c r="D10" s="8">
        <v>1.5</v>
      </c>
      <c r="E10" s="8">
        <v>1</v>
      </c>
      <c r="F10" s="8">
        <v>1</v>
      </c>
      <c r="G10" s="8">
        <v>0.5</v>
      </c>
      <c r="H10" s="8">
        <v>2</v>
      </c>
      <c r="I10" s="8">
        <v>1</v>
      </c>
      <c r="J10" s="8">
        <v>1</v>
      </c>
      <c r="K10" s="8">
        <v>2</v>
      </c>
      <c r="L10" s="8">
        <v>1.5</v>
      </c>
      <c r="M10" s="8">
        <v>0.5</v>
      </c>
      <c r="N10" s="8">
        <v>0</v>
      </c>
      <c r="O10" s="8">
        <v>0.5</v>
      </c>
      <c r="P10" s="8">
        <v>0.5</v>
      </c>
      <c r="Q10" s="8">
        <v>0.75</v>
      </c>
      <c r="R10" s="8">
        <v>0.5</v>
      </c>
      <c r="S10" s="8">
        <v>1</v>
      </c>
      <c r="T10" s="8">
        <v>0</v>
      </c>
      <c r="U10" s="8">
        <v>15.25</v>
      </c>
    </row>
    <row r="11" spans="1:21" x14ac:dyDescent="0.45">
      <c r="A11" s="7" t="s">
        <v>16</v>
      </c>
      <c r="B11" s="7" t="s">
        <v>17</v>
      </c>
      <c r="C11" s="7" t="s">
        <v>149</v>
      </c>
      <c r="D11" s="7">
        <v>0</v>
      </c>
      <c r="E11" s="7">
        <v>1</v>
      </c>
      <c r="F11" s="7">
        <v>1</v>
      </c>
      <c r="G11" s="7">
        <v>0.5</v>
      </c>
      <c r="H11" s="7">
        <v>2</v>
      </c>
      <c r="I11" s="7">
        <v>1</v>
      </c>
      <c r="J11" s="7">
        <v>1</v>
      </c>
      <c r="K11" s="7">
        <v>2</v>
      </c>
      <c r="L11" s="7">
        <v>1.5</v>
      </c>
      <c r="M11" s="7">
        <v>1.5</v>
      </c>
      <c r="N11" s="7">
        <v>0.5</v>
      </c>
      <c r="O11" s="7">
        <v>0.5</v>
      </c>
      <c r="P11" s="7">
        <v>1</v>
      </c>
      <c r="Q11" s="7">
        <v>0.5</v>
      </c>
      <c r="R11" s="7">
        <v>0.5</v>
      </c>
      <c r="S11" s="7">
        <v>1</v>
      </c>
      <c r="T11" s="7">
        <v>0.5</v>
      </c>
      <c r="U11" s="7">
        <v>16</v>
      </c>
    </row>
    <row r="12" spans="1:21" x14ac:dyDescent="0.45">
      <c r="A12" s="8" t="s">
        <v>18</v>
      </c>
      <c r="B12" s="8" t="s">
        <v>19</v>
      </c>
      <c r="C12" s="8" t="s">
        <v>149</v>
      </c>
      <c r="D12" s="8">
        <v>1.5</v>
      </c>
      <c r="E12" s="8">
        <v>1</v>
      </c>
      <c r="F12" s="8">
        <v>1</v>
      </c>
      <c r="G12" s="8">
        <v>0.25</v>
      </c>
      <c r="H12" s="8">
        <v>2</v>
      </c>
      <c r="I12" s="8">
        <v>1</v>
      </c>
      <c r="J12" s="8">
        <v>1</v>
      </c>
      <c r="K12" s="8">
        <v>2</v>
      </c>
      <c r="L12" s="8">
        <v>1.5</v>
      </c>
      <c r="M12" s="8">
        <v>1.5</v>
      </c>
      <c r="N12" s="8">
        <v>1</v>
      </c>
      <c r="O12" s="8">
        <v>0.5</v>
      </c>
      <c r="P12" s="8">
        <v>1.5</v>
      </c>
      <c r="Q12" s="8">
        <v>1</v>
      </c>
      <c r="R12" s="8">
        <v>0.5</v>
      </c>
      <c r="S12" s="8">
        <v>0.5</v>
      </c>
      <c r="T12" s="8">
        <v>0</v>
      </c>
      <c r="U12" s="8">
        <v>17.75</v>
      </c>
    </row>
    <row r="13" spans="1:21" x14ac:dyDescent="0.45">
      <c r="A13" s="7" t="s">
        <v>20</v>
      </c>
      <c r="B13" s="7" t="s">
        <v>21</v>
      </c>
      <c r="C13" s="7" t="s">
        <v>149</v>
      </c>
      <c r="D13" s="7">
        <v>1.5</v>
      </c>
      <c r="E13" s="7">
        <v>1</v>
      </c>
      <c r="F13" s="7">
        <v>1</v>
      </c>
      <c r="G13" s="7">
        <v>0.5</v>
      </c>
      <c r="H13" s="7">
        <v>2</v>
      </c>
      <c r="I13" s="7">
        <v>1</v>
      </c>
      <c r="J13" s="7">
        <v>1</v>
      </c>
      <c r="K13" s="7">
        <v>2</v>
      </c>
      <c r="L13" s="7">
        <v>1.5</v>
      </c>
      <c r="M13" s="7">
        <v>0.5</v>
      </c>
      <c r="N13" s="7">
        <v>0</v>
      </c>
      <c r="O13" s="7">
        <v>0.5</v>
      </c>
      <c r="P13" s="7">
        <v>0.5</v>
      </c>
      <c r="Q13" s="7">
        <v>0.75</v>
      </c>
      <c r="R13" s="7">
        <v>0.5</v>
      </c>
      <c r="S13" s="7">
        <v>1</v>
      </c>
      <c r="T13" s="7">
        <v>0</v>
      </c>
      <c r="U13" s="7">
        <v>15.25</v>
      </c>
    </row>
    <row r="14" spans="1:21" x14ac:dyDescent="0.45">
      <c r="A14" s="8" t="s">
        <v>22</v>
      </c>
      <c r="B14" s="8" t="s">
        <v>23</v>
      </c>
      <c r="C14" s="8" t="s">
        <v>149</v>
      </c>
      <c r="D14" s="8">
        <v>0</v>
      </c>
      <c r="E14" s="8">
        <v>1</v>
      </c>
      <c r="F14" s="8">
        <v>1</v>
      </c>
      <c r="G14" s="8">
        <v>0.5</v>
      </c>
      <c r="H14" s="8">
        <v>2</v>
      </c>
      <c r="I14" s="8">
        <v>1</v>
      </c>
      <c r="J14" s="8">
        <v>1</v>
      </c>
      <c r="K14" s="8">
        <v>2</v>
      </c>
      <c r="L14" s="8">
        <v>1.5</v>
      </c>
      <c r="M14" s="8">
        <v>1.5</v>
      </c>
      <c r="N14" s="8">
        <v>0.5</v>
      </c>
      <c r="O14" s="8">
        <v>0.5</v>
      </c>
      <c r="P14" s="8">
        <v>1</v>
      </c>
      <c r="Q14" s="8">
        <v>0.5</v>
      </c>
      <c r="R14" s="8">
        <v>0.5</v>
      </c>
      <c r="S14" s="8">
        <v>1</v>
      </c>
      <c r="T14" s="8">
        <v>0.5</v>
      </c>
      <c r="U14" s="8">
        <v>16</v>
      </c>
    </row>
    <row r="15" spans="1:21" x14ac:dyDescent="0.45">
      <c r="A15" s="7" t="s">
        <v>24</v>
      </c>
      <c r="B15" s="7" t="s">
        <v>25</v>
      </c>
      <c r="C15" s="7" t="s">
        <v>149</v>
      </c>
      <c r="D15" s="7">
        <v>1.5</v>
      </c>
      <c r="E15" s="7">
        <v>1</v>
      </c>
      <c r="F15" s="7">
        <v>1</v>
      </c>
      <c r="G15" s="7">
        <v>0.25</v>
      </c>
      <c r="H15" s="7">
        <v>2</v>
      </c>
      <c r="I15" s="7">
        <v>1</v>
      </c>
      <c r="J15" s="7">
        <v>1</v>
      </c>
      <c r="K15" s="7">
        <v>2</v>
      </c>
      <c r="L15" s="7">
        <v>1.5</v>
      </c>
      <c r="M15" s="7">
        <v>0.5</v>
      </c>
      <c r="N15" s="7">
        <v>0</v>
      </c>
      <c r="O15" s="7">
        <v>0.5</v>
      </c>
      <c r="P15" s="7">
        <v>1.5</v>
      </c>
      <c r="Q15" s="7">
        <v>0.25</v>
      </c>
      <c r="R15" s="7">
        <v>1</v>
      </c>
      <c r="S15" s="7">
        <v>0.5</v>
      </c>
      <c r="T15" s="7">
        <v>0.25</v>
      </c>
      <c r="U15" s="7">
        <v>15.75</v>
      </c>
    </row>
    <row r="16" spans="1:21" x14ac:dyDescent="0.45">
      <c r="A16" s="8" t="s">
        <v>26</v>
      </c>
      <c r="B16" s="8" t="s">
        <v>27</v>
      </c>
      <c r="C16" s="8" t="s">
        <v>149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 x14ac:dyDescent="0.45">
      <c r="A17" s="7" t="s">
        <v>28</v>
      </c>
      <c r="B17" s="7" t="s">
        <v>29</v>
      </c>
      <c r="C17" s="7" t="s">
        <v>149</v>
      </c>
      <c r="D17" s="7">
        <v>1.5</v>
      </c>
      <c r="E17" s="7">
        <v>1</v>
      </c>
      <c r="F17" s="7">
        <v>1</v>
      </c>
      <c r="G17" s="7">
        <v>0.25</v>
      </c>
      <c r="H17" s="7">
        <v>2</v>
      </c>
      <c r="I17" s="7">
        <v>1</v>
      </c>
      <c r="J17" s="7">
        <v>1</v>
      </c>
      <c r="K17" s="7">
        <v>2</v>
      </c>
      <c r="L17" s="7">
        <v>1.5</v>
      </c>
      <c r="M17" s="7">
        <v>0.5</v>
      </c>
      <c r="N17" s="7">
        <v>0.5</v>
      </c>
      <c r="O17" s="7">
        <v>0.5</v>
      </c>
      <c r="P17" s="7">
        <v>1.5</v>
      </c>
      <c r="Q17" s="7">
        <v>1</v>
      </c>
      <c r="R17" s="7">
        <v>1.5</v>
      </c>
      <c r="S17" s="7">
        <v>1</v>
      </c>
      <c r="T17" s="7">
        <v>0.5</v>
      </c>
      <c r="U17" s="7">
        <v>18.25</v>
      </c>
    </row>
    <row r="18" spans="1:21" x14ac:dyDescent="0.45">
      <c r="A18" s="8" t="s">
        <v>30</v>
      </c>
      <c r="B18" s="8" t="s">
        <v>31</v>
      </c>
      <c r="C18" s="8" t="s">
        <v>149</v>
      </c>
      <c r="D18" s="8">
        <v>1.5</v>
      </c>
      <c r="E18" s="8">
        <v>1</v>
      </c>
      <c r="F18" s="8">
        <v>1</v>
      </c>
      <c r="G18" s="8">
        <v>0.5</v>
      </c>
      <c r="H18" s="8">
        <v>2</v>
      </c>
      <c r="I18" s="8">
        <v>1</v>
      </c>
      <c r="J18" s="8">
        <v>1</v>
      </c>
      <c r="K18" s="8">
        <v>2</v>
      </c>
      <c r="L18" s="8">
        <v>1.5</v>
      </c>
      <c r="M18" s="8">
        <v>1.5</v>
      </c>
      <c r="N18" s="8">
        <v>1</v>
      </c>
      <c r="O18" s="8">
        <v>1</v>
      </c>
      <c r="P18" s="8">
        <v>1.5</v>
      </c>
      <c r="Q18" s="8">
        <v>1</v>
      </c>
      <c r="R18" s="8">
        <v>1.5</v>
      </c>
      <c r="S18" s="8">
        <v>1</v>
      </c>
      <c r="T18" s="8">
        <v>0.5</v>
      </c>
      <c r="U18" s="8">
        <v>20.5</v>
      </c>
    </row>
    <row r="19" spans="1:21" x14ac:dyDescent="0.45">
      <c r="A19" s="7" t="s">
        <v>32</v>
      </c>
      <c r="B19" s="7" t="s">
        <v>33</v>
      </c>
      <c r="C19" s="7" t="s">
        <v>149</v>
      </c>
      <c r="D19" s="7">
        <v>1.5</v>
      </c>
      <c r="E19" s="7">
        <v>1</v>
      </c>
      <c r="F19" s="7">
        <v>1</v>
      </c>
      <c r="G19" s="7">
        <v>0.5</v>
      </c>
      <c r="H19" s="7">
        <v>2</v>
      </c>
      <c r="I19" s="7">
        <v>1</v>
      </c>
      <c r="J19" s="7">
        <v>1</v>
      </c>
      <c r="K19" s="7">
        <v>2</v>
      </c>
      <c r="L19" s="7">
        <v>1.5</v>
      </c>
      <c r="M19" s="7">
        <v>0.5</v>
      </c>
      <c r="N19" s="7">
        <v>0</v>
      </c>
      <c r="O19" s="7">
        <v>1.5</v>
      </c>
      <c r="P19" s="7">
        <v>1.5</v>
      </c>
      <c r="Q19" s="7">
        <v>0.75</v>
      </c>
      <c r="R19" s="7">
        <v>1</v>
      </c>
      <c r="S19" s="7">
        <v>0.5</v>
      </c>
      <c r="T19" s="7">
        <v>0.25</v>
      </c>
      <c r="U19" s="7">
        <v>17.5</v>
      </c>
    </row>
    <row r="20" spans="1:21" x14ac:dyDescent="0.45">
      <c r="A20" s="8" t="s">
        <v>34</v>
      </c>
      <c r="B20" s="8" t="s">
        <v>33</v>
      </c>
      <c r="C20" s="8" t="s">
        <v>149</v>
      </c>
      <c r="D20" s="8">
        <v>1.5</v>
      </c>
      <c r="E20" s="8">
        <v>1</v>
      </c>
      <c r="F20" s="8">
        <v>1</v>
      </c>
      <c r="G20" s="8">
        <v>0.5</v>
      </c>
      <c r="H20" s="8">
        <v>2</v>
      </c>
      <c r="I20" s="8">
        <v>1</v>
      </c>
      <c r="J20" s="8">
        <v>1</v>
      </c>
      <c r="K20" s="8">
        <v>2</v>
      </c>
      <c r="L20" s="8">
        <v>1.5</v>
      </c>
      <c r="M20" s="8">
        <v>1.5</v>
      </c>
      <c r="N20" s="8">
        <v>0.5</v>
      </c>
      <c r="O20" s="8">
        <v>1.5</v>
      </c>
      <c r="P20" s="8">
        <v>1.5</v>
      </c>
      <c r="Q20" s="8">
        <v>0</v>
      </c>
      <c r="R20" s="8">
        <v>1</v>
      </c>
      <c r="S20" s="8">
        <v>0.5</v>
      </c>
      <c r="T20" s="8">
        <v>0</v>
      </c>
      <c r="U20" s="8">
        <v>18</v>
      </c>
    </row>
    <row r="21" spans="1:21" x14ac:dyDescent="0.45">
      <c r="A21" s="7" t="s">
        <v>35</v>
      </c>
      <c r="B21" s="7" t="s">
        <v>36</v>
      </c>
      <c r="C21" s="7" t="s">
        <v>149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x14ac:dyDescent="0.45">
      <c r="A22" s="8" t="s">
        <v>37</v>
      </c>
      <c r="B22" s="8" t="s">
        <v>38</v>
      </c>
      <c r="C22" s="8" t="s">
        <v>149</v>
      </c>
      <c r="D22" s="8">
        <v>1.5</v>
      </c>
      <c r="E22" s="8">
        <v>1</v>
      </c>
      <c r="F22" s="8">
        <v>1</v>
      </c>
      <c r="G22" s="8">
        <v>0.25</v>
      </c>
      <c r="H22" s="8">
        <v>2</v>
      </c>
      <c r="I22" s="8">
        <v>1</v>
      </c>
      <c r="J22" s="8">
        <v>1</v>
      </c>
      <c r="K22" s="8">
        <v>2</v>
      </c>
      <c r="L22" s="8">
        <v>1.5</v>
      </c>
      <c r="M22" s="8">
        <v>0.5</v>
      </c>
      <c r="N22" s="8">
        <v>0.5</v>
      </c>
      <c r="O22" s="8">
        <v>1.5</v>
      </c>
      <c r="P22" s="8">
        <v>1.5</v>
      </c>
      <c r="Q22" s="8">
        <v>1</v>
      </c>
      <c r="R22" s="8">
        <v>0</v>
      </c>
      <c r="S22" s="8">
        <v>0.5</v>
      </c>
      <c r="T22" s="8">
        <v>0</v>
      </c>
      <c r="U22" s="8">
        <v>16.75</v>
      </c>
    </row>
    <row r="23" spans="1:21" x14ac:dyDescent="0.45">
      <c r="A23" s="7" t="s">
        <v>39</v>
      </c>
      <c r="B23" s="7" t="s">
        <v>40</v>
      </c>
      <c r="C23" s="7" t="s">
        <v>149</v>
      </c>
      <c r="D23" s="7">
        <v>1.5</v>
      </c>
      <c r="E23" s="7">
        <v>1</v>
      </c>
      <c r="F23" s="7">
        <v>1</v>
      </c>
      <c r="G23" s="7">
        <v>0</v>
      </c>
      <c r="H23" s="7">
        <v>2</v>
      </c>
      <c r="I23" s="7">
        <v>1</v>
      </c>
      <c r="J23" s="7">
        <v>1</v>
      </c>
      <c r="K23" s="7">
        <v>2</v>
      </c>
      <c r="L23" s="7">
        <v>1.5</v>
      </c>
      <c r="M23" s="7">
        <v>0.5</v>
      </c>
      <c r="N23" s="7">
        <v>0</v>
      </c>
      <c r="O23" s="7">
        <v>1.5</v>
      </c>
      <c r="P23" s="7">
        <v>1.5</v>
      </c>
      <c r="Q23" s="7">
        <v>0</v>
      </c>
      <c r="R23" s="7">
        <v>0</v>
      </c>
      <c r="S23" s="7">
        <v>1</v>
      </c>
      <c r="T23" s="7">
        <v>0.25</v>
      </c>
      <c r="U23" s="7">
        <v>15.75</v>
      </c>
    </row>
    <row r="24" spans="1:21" x14ac:dyDescent="0.45">
      <c r="A24" s="8" t="s">
        <v>41</v>
      </c>
      <c r="B24" s="8" t="s">
        <v>42</v>
      </c>
      <c r="C24" s="8" t="s">
        <v>149</v>
      </c>
      <c r="D24" s="8">
        <v>1.5</v>
      </c>
      <c r="E24" s="8">
        <v>1</v>
      </c>
      <c r="F24" s="8">
        <v>1</v>
      </c>
      <c r="G24" s="8">
        <v>0.5</v>
      </c>
      <c r="H24" s="8">
        <v>2</v>
      </c>
      <c r="I24" s="8">
        <v>1</v>
      </c>
      <c r="J24" s="8">
        <v>1</v>
      </c>
      <c r="K24" s="8">
        <v>2</v>
      </c>
      <c r="L24" s="8">
        <v>1.5</v>
      </c>
      <c r="M24" s="8">
        <v>1.5</v>
      </c>
      <c r="N24" s="8">
        <v>0.5</v>
      </c>
      <c r="O24" s="8">
        <v>0.5</v>
      </c>
      <c r="P24" s="8">
        <v>1.5</v>
      </c>
      <c r="Q24" s="8">
        <v>1</v>
      </c>
      <c r="R24" s="8">
        <v>0.5</v>
      </c>
      <c r="S24" s="8">
        <v>0.5</v>
      </c>
      <c r="T24" s="8">
        <v>0.5</v>
      </c>
      <c r="U24" s="8">
        <v>18</v>
      </c>
    </row>
    <row r="25" spans="1:21" x14ac:dyDescent="0.45">
      <c r="A25" s="7" t="s">
        <v>43</v>
      </c>
      <c r="B25" s="7" t="s">
        <v>44</v>
      </c>
      <c r="C25" s="7" t="s">
        <v>149</v>
      </c>
      <c r="D25" s="7">
        <v>1.5</v>
      </c>
      <c r="E25" s="7">
        <v>1</v>
      </c>
      <c r="F25" s="7">
        <v>1</v>
      </c>
      <c r="G25" s="7">
        <v>0.5</v>
      </c>
      <c r="H25" s="7">
        <v>2</v>
      </c>
      <c r="I25" s="7">
        <v>1</v>
      </c>
      <c r="J25" s="7">
        <v>1</v>
      </c>
      <c r="K25" s="7">
        <v>2</v>
      </c>
      <c r="L25" s="7">
        <v>1.5</v>
      </c>
      <c r="M25" s="7">
        <v>0.5</v>
      </c>
      <c r="N25" s="7">
        <v>0</v>
      </c>
      <c r="O25" s="7">
        <v>1.5</v>
      </c>
      <c r="P25" s="7">
        <v>1.5</v>
      </c>
      <c r="Q25" s="7">
        <v>0.75</v>
      </c>
      <c r="R25" s="7">
        <v>1</v>
      </c>
      <c r="S25" s="7">
        <v>0.5</v>
      </c>
      <c r="T25" s="7">
        <v>0.25</v>
      </c>
      <c r="U25" s="7">
        <v>17.5</v>
      </c>
    </row>
    <row r="26" spans="1:21" x14ac:dyDescent="0.45">
      <c r="A26" s="8" t="s">
        <v>45</v>
      </c>
      <c r="B26" s="8" t="s">
        <v>46</v>
      </c>
      <c r="C26" s="8" t="s">
        <v>149</v>
      </c>
      <c r="D26" s="8">
        <v>1.5</v>
      </c>
      <c r="E26" s="8">
        <v>1</v>
      </c>
      <c r="F26" s="8">
        <v>1</v>
      </c>
      <c r="G26" s="8">
        <v>0</v>
      </c>
      <c r="H26" s="8">
        <v>2</v>
      </c>
      <c r="I26" s="8">
        <v>1</v>
      </c>
      <c r="J26" s="8">
        <v>1</v>
      </c>
      <c r="K26" s="8">
        <v>2</v>
      </c>
      <c r="L26" s="8">
        <v>1.5</v>
      </c>
      <c r="M26" s="8">
        <v>0.5</v>
      </c>
      <c r="N26" s="8">
        <v>0</v>
      </c>
      <c r="O26" s="8">
        <v>1.5</v>
      </c>
      <c r="P26" s="8">
        <v>1.5</v>
      </c>
      <c r="Q26" s="8">
        <v>0</v>
      </c>
      <c r="R26" s="8">
        <v>0</v>
      </c>
      <c r="S26" s="8">
        <v>1</v>
      </c>
      <c r="T26" s="8">
        <v>0.25</v>
      </c>
      <c r="U26" s="8">
        <v>15.75</v>
      </c>
    </row>
    <row r="27" spans="1:21" x14ac:dyDescent="0.45">
      <c r="A27" s="7" t="s">
        <v>47</v>
      </c>
      <c r="B27" s="7" t="s">
        <v>48</v>
      </c>
      <c r="C27" s="7" t="s">
        <v>149</v>
      </c>
      <c r="D27" s="7">
        <v>1.5</v>
      </c>
      <c r="E27" s="7">
        <v>1</v>
      </c>
      <c r="F27" s="7">
        <v>1</v>
      </c>
      <c r="G27" s="7">
        <v>0.5</v>
      </c>
      <c r="H27" s="7">
        <v>2</v>
      </c>
      <c r="I27" s="7">
        <v>1</v>
      </c>
      <c r="J27" s="7">
        <v>1</v>
      </c>
      <c r="K27" s="7">
        <v>2</v>
      </c>
      <c r="L27" s="7">
        <v>1.5</v>
      </c>
      <c r="M27" s="7">
        <v>1.5</v>
      </c>
      <c r="N27" s="7">
        <v>0.5</v>
      </c>
      <c r="O27" s="7">
        <v>0.5</v>
      </c>
      <c r="P27" s="7">
        <v>1.5</v>
      </c>
      <c r="Q27" s="7">
        <v>1</v>
      </c>
      <c r="R27" s="7">
        <v>0.5</v>
      </c>
      <c r="S27" s="7">
        <v>0.5</v>
      </c>
      <c r="T27" s="7">
        <v>0.5</v>
      </c>
      <c r="U27" s="7">
        <v>18</v>
      </c>
    </row>
    <row r="28" spans="1:21" x14ac:dyDescent="0.45">
      <c r="A28" s="8" t="s">
        <v>49</v>
      </c>
      <c r="B28" s="8" t="s">
        <v>50</v>
      </c>
      <c r="C28" s="8" t="s">
        <v>149</v>
      </c>
      <c r="D28" s="8">
        <v>1.5</v>
      </c>
      <c r="E28" s="8">
        <v>1</v>
      </c>
      <c r="F28" s="8">
        <v>1</v>
      </c>
      <c r="G28" s="8">
        <v>0.5</v>
      </c>
      <c r="H28" s="8">
        <v>2</v>
      </c>
      <c r="I28" s="8">
        <v>1</v>
      </c>
      <c r="J28" s="8">
        <v>1</v>
      </c>
      <c r="K28" s="8">
        <v>2</v>
      </c>
      <c r="L28" s="8">
        <v>1.5</v>
      </c>
      <c r="M28" s="8">
        <v>1.5</v>
      </c>
      <c r="N28" s="8">
        <v>0.5</v>
      </c>
      <c r="O28" s="8">
        <v>1.5</v>
      </c>
      <c r="P28" s="8">
        <v>1.5</v>
      </c>
      <c r="Q28" s="8">
        <v>0</v>
      </c>
      <c r="R28" s="8">
        <v>1</v>
      </c>
      <c r="S28" s="8">
        <v>0.5</v>
      </c>
      <c r="T28" s="8">
        <v>0</v>
      </c>
      <c r="U28" s="8">
        <v>18</v>
      </c>
    </row>
    <row r="29" spans="1:21" x14ac:dyDescent="0.45">
      <c r="A29" s="7" t="s">
        <v>51</v>
      </c>
      <c r="B29" s="7" t="s">
        <v>52</v>
      </c>
      <c r="C29" s="7" t="s">
        <v>149</v>
      </c>
      <c r="D29" s="7">
        <v>1.5</v>
      </c>
      <c r="E29" s="7">
        <v>1</v>
      </c>
      <c r="F29" s="7">
        <v>1</v>
      </c>
      <c r="G29" s="7">
        <v>0.25</v>
      </c>
      <c r="H29" s="7">
        <v>2</v>
      </c>
      <c r="I29" s="7">
        <v>1</v>
      </c>
      <c r="J29" s="7">
        <v>1</v>
      </c>
      <c r="K29" s="7">
        <v>2</v>
      </c>
      <c r="L29" s="7">
        <v>1.5</v>
      </c>
      <c r="M29" s="7">
        <v>0.5</v>
      </c>
      <c r="N29" s="7">
        <v>0.5</v>
      </c>
      <c r="O29" s="7">
        <v>0.5</v>
      </c>
      <c r="P29" s="7">
        <v>1.5</v>
      </c>
      <c r="Q29" s="7">
        <v>1</v>
      </c>
      <c r="R29" s="7">
        <v>1.5</v>
      </c>
      <c r="S29" s="7">
        <v>1</v>
      </c>
      <c r="T29" s="7">
        <v>0.5</v>
      </c>
      <c r="U29" s="7">
        <v>18.25</v>
      </c>
    </row>
    <row r="30" spans="1:21" x14ac:dyDescent="0.45">
      <c r="A30" s="8" t="s">
        <v>53</v>
      </c>
      <c r="B30" s="8" t="s">
        <v>54</v>
      </c>
      <c r="C30" s="8" t="s">
        <v>149</v>
      </c>
      <c r="D30" s="8">
        <v>1.5</v>
      </c>
      <c r="E30" s="8">
        <v>1</v>
      </c>
      <c r="F30" s="8">
        <v>1</v>
      </c>
      <c r="G30" s="8">
        <v>0.25</v>
      </c>
      <c r="H30" s="8">
        <v>2</v>
      </c>
      <c r="I30" s="8">
        <v>1</v>
      </c>
      <c r="J30" s="8">
        <v>1</v>
      </c>
      <c r="K30" s="8">
        <v>2</v>
      </c>
      <c r="L30" s="8">
        <v>1.5</v>
      </c>
      <c r="M30" s="8">
        <v>1.5</v>
      </c>
      <c r="N30" s="8">
        <v>1</v>
      </c>
      <c r="O30" s="8">
        <v>0.5</v>
      </c>
      <c r="P30" s="8">
        <v>1.5</v>
      </c>
      <c r="Q30" s="8">
        <v>1</v>
      </c>
      <c r="R30" s="8">
        <v>0.5</v>
      </c>
      <c r="S30" s="8">
        <v>0.5</v>
      </c>
      <c r="T30" s="8">
        <v>0</v>
      </c>
      <c r="U30" s="8">
        <v>17.75</v>
      </c>
    </row>
    <row r="31" spans="1:21" x14ac:dyDescent="0.45">
      <c r="A31" s="7" t="s">
        <v>55</v>
      </c>
      <c r="B31" s="7" t="s">
        <v>56</v>
      </c>
      <c r="C31" s="7" t="s">
        <v>149</v>
      </c>
      <c r="D31" s="7">
        <v>1.5</v>
      </c>
      <c r="E31" s="7">
        <v>1</v>
      </c>
      <c r="F31" s="7">
        <v>1</v>
      </c>
      <c r="G31" s="7">
        <v>0.5</v>
      </c>
      <c r="H31" s="7">
        <v>2</v>
      </c>
      <c r="I31" s="7">
        <v>1</v>
      </c>
      <c r="J31" s="7">
        <v>1</v>
      </c>
      <c r="K31" s="7">
        <v>2</v>
      </c>
      <c r="L31" s="7">
        <v>1.5</v>
      </c>
      <c r="M31" s="7">
        <v>1.5</v>
      </c>
      <c r="N31" s="7">
        <v>0.5</v>
      </c>
      <c r="O31" s="7">
        <v>1.5</v>
      </c>
      <c r="P31" s="7">
        <v>1.5</v>
      </c>
      <c r="Q31" s="7">
        <v>1</v>
      </c>
      <c r="R31" s="7">
        <v>1.5</v>
      </c>
      <c r="S31" s="7">
        <v>1</v>
      </c>
      <c r="T31" s="7">
        <v>0.25</v>
      </c>
      <c r="U31" s="7">
        <v>20.25</v>
      </c>
    </row>
    <row r="32" spans="1:21" x14ac:dyDescent="0.45">
      <c r="A32" s="8" t="s">
        <v>57</v>
      </c>
      <c r="B32" s="8" t="s">
        <v>58</v>
      </c>
      <c r="C32" s="8" t="s">
        <v>149</v>
      </c>
      <c r="D32" s="8">
        <v>1.5</v>
      </c>
      <c r="E32" s="8">
        <v>1</v>
      </c>
      <c r="F32" s="8">
        <v>1</v>
      </c>
      <c r="G32" s="8">
        <v>0.5</v>
      </c>
      <c r="H32" s="8">
        <v>2</v>
      </c>
      <c r="I32" s="8">
        <v>1</v>
      </c>
      <c r="J32" s="8">
        <v>1</v>
      </c>
      <c r="K32" s="8">
        <v>2</v>
      </c>
      <c r="L32" s="8">
        <v>1.5</v>
      </c>
      <c r="M32" s="8">
        <v>0.5</v>
      </c>
      <c r="N32" s="8">
        <v>0</v>
      </c>
      <c r="O32" s="8">
        <v>1</v>
      </c>
      <c r="P32" s="8">
        <v>1.5</v>
      </c>
      <c r="Q32" s="8">
        <v>0.75</v>
      </c>
      <c r="R32" s="8">
        <v>1.5</v>
      </c>
      <c r="S32" s="8">
        <v>0.5</v>
      </c>
      <c r="T32" s="8">
        <v>0.5</v>
      </c>
      <c r="U32" s="8">
        <v>17.75</v>
      </c>
    </row>
    <row r="33" spans="1:21" x14ac:dyDescent="0.45">
      <c r="A33" s="7" t="s">
        <v>59</v>
      </c>
      <c r="B33" s="7" t="s">
        <v>60</v>
      </c>
      <c r="C33" s="7" t="s">
        <v>149</v>
      </c>
      <c r="D33" s="7">
        <v>1.5</v>
      </c>
      <c r="E33" s="7">
        <v>1</v>
      </c>
      <c r="F33" s="7">
        <v>1</v>
      </c>
      <c r="G33" s="7">
        <v>0.25</v>
      </c>
      <c r="H33" s="7">
        <v>2</v>
      </c>
      <c r="I33" s="7">
        <v>1</v>
      </c>
      <c r="J33" s="7">
        <v>1</v>
      </c>
      <c r="K33" s="7">
        <v>2</v>
      </c>
      <c r="L33" s="7">
        <v>1.5</v>
      </c>
      <c r="M33" s="7">
        <v>0.5</v>
      </c>
      <c r="N33" s="7">
        <v>1</v>
      </c>
      <c r="O33" s="7">
        <v>1.5</v>
      </c>
      <c r="P33" s="7">
        <v>1.5</v>
      </c>
      <c r="Q33" s="7">
        <v>1</v>
      </c>
      <c r="R33" s="7">
        <v>1.5</v>
      </c>
      <c r="S33" s="7">
        <v>0.5</v>
      </c>
      <c r="T33" s="7">
        <v>0.25</v>
      </c>
      <c r="U33" s="7">
        <v>19</v>
      </c>
    </row>
    <row r="34" spans="1:21" x14ac:dyDescent="0.45">
      <c r="A34" s="8" t="s">
        <v>61</v>
      </c>
      <c r="B34" s="8" t="s">
        <v>62</v>
      </c>
      <c r="C34" s="8" t="s">
        <v>150</v>
      </c>
      <c r="D34" s="8">
        <v>1.5</v>
      </c>
      <c r="E34" s="8">
        <v>1</v>
      </c>
      <c r="F34" s="8">
        <v>1</v>
      </c>
      <c r="G34" s="8">
        <v>0.25</v>
      </c>
      <c r="H34" s="8">
        <v>2</v>
      </c>
      <c r="I34" s="8">
        <v>1</v>
      </c>
      <c r="J34" s="8">
        <v>1</v>
      </c>
      <c r="K34" s="8">
        <v>2</v>
      </c>
      <c r="L34" s="8">
        <v>1.5</v>
      </c>
      <c r="M34" s="8">
        <v>0.5</v>
      </c>
      <c r="N34" s="8">
        <v>0</v>
      </c>
      <c r="O34" s="8">
        <v>0.5</v>
      </c>
      <c r="P34" s="8">
        <v>1.5</v>
      </c>
      <c r="Q34" s="8">
        <v>0.25</v>
      </c>
      <c r="R34" s="8">
        <v>1</v>
      </c>
      <c r="S34" s="8">
        <v>0.5</v>
      </c>
      <c r="T34" s="8">
        <v>0.25</v>
      </c>
      <c r="U34" s="8">
        <v>15.75</v>
      </c>
    </row>
    <row r="35" spans="1:21" x14ac:dyDescent="0.45">
      <c r="A35" s="7" t="s">
        <v>63</v>
      </c>
      <c r="B35" s="7" t="s">
        <v>64</v>
      </c>
      <c r="C35" s="7" t="s">
        <v>149</v>
      </c>
      <c r="D35" s="7">
        <v>1.5</v>
      </c>
      <c r="E35" s="7">
        <v>1</v>
      </c>
      <c r="F35" s="7">
        <v>1</v>
      </c>
      <c r="G35" s="7">
        <v>0.5</v>
      </c>
      <c r="H35" s="7">
        <v>2</v>
      </c>
      <c r="I35" s="7">
        <v>1</v>
      </c>
      <c r="J35" s="7">
        <v>1</v>
      </c>
      <c r="K35" s="7">
        <v>2</v>
      </c>
      <c r="L35" s="7">
        <v>1.5</v>
      </c>
      <c r="M35" s="7">
        <v>1.5</v>
      </c>
      <c r="N35" s="7">
        <v>1</v>
      </c>
      <c r="O35" s="7">
        <v>1.5</v>
      </c>
      <c r="P35" s="7">
        <v>1.5</v>
      </c>
      <c r="Q35" s="7">
        <v>1</v>
      </c>
      <c r="R35" s="7">
        <v>0.5</v>
      </c>
      <c r="S35" s="7">
        <v>0</v>
      </c>
      <c r="T35" s="7">
        <v>0</v>
      </c>
      <c r="U35" s="7">
        <v>18.5</v>
      </c>
    </row>
    <row r="36" spans="1:21" x14ac:dyDescent="0.45">
      <c r="A36" s="8" t="s">
        <v>65</v>
      </c>
      <c r="B36" s="8" t="s">
        <v>66</v>
      </c>
      <c r="C36" s="8" t="s">
        <v>149</v>
      </c>
      <c r="D36" s="8">
        <v>1.5</v>
      </c>
      <c r="E36" s="8">
        <v>1</v>
      </c>
      <c r="F36" s="8">
        <v>1</v>
      </c>
      <c r="G36" s="8">
        <v>0</v>
      </c>
      <c r="H36" s="8">
        <v>2</v>
      </c>
      <c r="I36" s="8">
        <v>1</v>
      </c>
      <c r="J36" s="8">
        <v>1</v>
      </c>
      <c r="K36" s="8">
        <v>2</v>
      </c>
      <c r="L36" s="8">
        <v>1.5</v>
      </c>
      <c r="M36" s="8">
        <v>0.5</v>
      </c>
      <c r="N36" s="8">
        <v>0</v>
      </c>
      <c r="O36" s="8">
        <v>0.5</v>
      </c>
      <c r="P36" s="8">
        <v>1.5</v>
      </c>
      <c r="Q36" s="8">
        <v>0</v>
      </c>
      <c r="R36" s="8">
        <v>0.5</v>
      </c>
      <c r="S36" s="8">
        <v>0.5</v>
      </c>
      <c r="T36" s="8">
        <v>0</v>
      </c>
      <c r="U36" s="8">
        <v>14.5</v>
      </c>
    </row>
    <row r="37" spans="1:21" x14ac:dyDescent="0.45">
      <c r="A37" s="7" t="s">
        <v>67</v>
      </c>
      <c r="B37" s="7" t="s">
        <v>68</v>
      </c>
      <c r="C37" s="7" t="s">
        <v>149</v>
      </c>
      <c r="D37" s="7">
        <v>1.5</v>
      </c>
      <c r="E37" s="7">
        <v>1</v>
      </c>
      <c r="F37" s="7">
        <v>1</v>
      </c>
      <c r="G37" s="7">
        <v>0.25</v>
      </c>
      <c r="H37" s="7">
        <v>2</v>
      </c>
      <c r="I37" s="7">
        <v>1</v>
      </c>
      <c r="J37" s="7">
        <v>1</v>
      </c>
      <c r="K37" s="7">
        <v>2</v>
      </c>
      <c r="L37" s="7">
        <v>1.5</v>
      </c>
      <c r="M37" s="7">
        <v>0.5</v>
      </c>
      <c r="N37" s="7">
        <v>0.5</v>
      </c>
      <c r="O37" s="7">
        <v>1.5</v>
      </c>
      <c r="P37" s="7">
        <v>1.5</v>
      </c>
      <c r="Q37" s="7">
        <v>0.5</v>
      </c>
      <c r="R37" s="7">
        <v>1.5</v>
      </c>
      <c r="S37" s="7">
        <v>1</v>
      </c>
      <c r="T37" s="7">
        <v>0.5</v>
      </c>
      <c r="U37" s="7">
        <v>18.75</v>
      </c>
    </row>
    <row r="38" spans="1:21" x14ac:dyDescent="0.45">
      <c r="A38" s="8" t="s">
        <v>69</v>
      </c>
      <c r="B38" s="8" t="s">
        <v>70</v>
      </c>
      <c r="C38" s="8" t="s">
        <v>149</v>
      </c>
      <c r="D38" s="8">
        <v>1.5</v>
      </c>
      <c r="E38" s="8">
        <v>1</v>
      </c>
      <c r="F38" s="8">
        <v>1</v>
      </c>
      <c r="G38" s="8">
        <v>0.25</v>
      </c>
      <c r="H38" s="8">
        <v>2</v>
      </c>
      <c r="I38" s="8">
        <v>1</v>
      </c>
      <c r="J38" s="8">
        <v>1</v>
      </c>
      <c r="K38" s="8">
        <v>2</v>
      </c>
      <c r="L38" s="8">
        <v>1.5</v>
      </c>
      <c r="M38" s="8">
        <v>0.5</v>
      </c>
      <c r="N38" s="8">
        <v>0.5</v>
      </c>
      <c r="O38" s="8">
        <v>1.5</v>
      </c>
      <c r="P38" s="8">
        <v>1.5</v>
      </c>
      <c r="Q38" s="8">
        <v>0.5</v>
      </c>
      <c r="R38" s="8">
        <v>1.5</v>
      </c>
      <c r="S38" s="8">
        <v>1</v>
      </c>
      <c r="T38" s="8">
        <v>0.5</v>
      </c>
      <c r="U38" s="8">
        <v>18.75</v>
      </c>
    </row>
    <row r="39" spans="1:21" x14ac:dyDescent="0.45">
      <c r="A39" s="7" t="s">
        <v>71</v>
      </c>
      <c r="B39" s="7" t="s">
        <v>72</v>
      </c>
      <c r="C39" s="7" t="s">
        <v>149</v>
      </c>
      <c r="D39" s="7">
        <v>1.5</v>
      </c>
      <c r="E39" s="7">
        <v>1</v>
      </c>
      <c r="F39" s="7">
        <v>1</v>
      </c>
      <c r="G39" s="7">
        <v>0.25</v>
      </c>
      <c r="H39" s="7">
        <v>2</v>
      </c>
      <c r="I39" s="7">
        <v>1</v>
      </c>
      <c r="J39" s="7">
        <v>1</v>
      </c>
      <c r="K39" s="7">
        <v>2</v>
      </c>
      <c r="L39" s="7">
        <v>1.5</v>
      </c>
      <c r="M39" s="7">
        <v>1.5</v>
      </c>
      <c r="N39" s="7">
        <v>0</v>
      </c>
      <c r="O39" s="7">
        <v>1.5</v>
      </c>
      <c r="P39" s="7">
        <v>1.5</v>
      </c>
      <c r="Q39" s="7">
        <v>1</v>
      </c>
      <c r="R39" s="7">
        <v>1.5</v>
      </c>
      <c r="S39" s="7">
        <v>1</v>
      </c>
      <c r="T39" s="7">
        <v>0.5</v>
      </c>
      <c r="U39" s="7">
        <v>19.75</v>
      </c>
    </row>
    <row r="40" spans="1:21" x14ac:dyDescent="0.45">
      <c r="A40" s="8" t="s">
        <v>73</v>
      </c>
      <c r="B40" s="8" t="s">
        <v>74</v>
      </c>
      <c r="C40" s="8" t="s">
        <v>149</v>
      </c>
      <c r="D40" s="8">
        <v>1.5</v>
      </c>
      <c r="E40" s="8">
        <v>1</v>
      </c>
      <c r="F40" s="8">
        <v>1</v>
      </c>
      <c r="G40" s="8">
        <v>0.25</v>
      </c>
      <c r="H40" s="8">
        <v>2</v>
      </c>
      <c r="I40" s="8">
        <v>1</v>
      </c>
      <c r="J40" s="8">
        <v>1</v>
      </c>
      <c r="K40" s="8">
        <v>2</v>
      </c>
      <c r="L40" s="8">
        <v>1.5</v>
      </c>
      <c r="M40" s="8">
        <v>1.5</v>
      </c>
      <c r="N40" s="8">
        <v>1</v>
      </c>
      <c r="O40" s="8">
        <v>1.5</v>
      </c>
      <c r="P40" s="8">
        <v>1.5</v>
      </c>
      <c r="Q40" s="8">
        <v>1</v>
      </c>
      <c r="R40" s="8">
        <v>1.5</v>
      </c>
      <c r="S40" s="8">
        <v>0.5</v>
      </c>
      <c r="T40" s="8">
        <v>0.5</v>
      </c>
      <c r="U40" s="8">
        <v>20.25</v>
      </c>
    </row>
    <row r="41" spans="1:21" x14ac:dyDescent="0.45">
      <c r="A41" s="7" t="s">
        <v>75</v>
      </c>
      <c r="B41" s="7" t="s">
        <v>48</v>
      </c>
      <c r="C41" s="7" t="s">
        <v>149</v>
      </c>
      <c r="D41" s="7">
        <v>1.5</v>
      </c>
      <c r="E41" s="7">
        <v>1</v>
      </c>
      <c r="F41" s="7">
        <v>1</v>
      </c>
      <c r="G41" s="7">
        <v>0</v>
      </c>
      <c r="H41" s="7">
        <v>2</v>
      </c>
      <c r="I41" s="7">
        <v>1</v>
      </c>
      <c r="J41" s="7">
        <v>1</v>
      </c>
      <c r="K41" s="7">
        <v>2</v>
      </c>
      <c r="L41" s="7">
        <v>1.5</v>
      </c>
      <c r="M41" s="7">
        <v>1.5</v>
      </c>
      <c r="N41" s="7">
        <v>0</v>
      </c>
      <c r="O41" s="7">
        <v>1.5</v>
      </c>
      <c r="P41" s="7">
        <v>1.5</v>
      </c>
      <c r="Q41" s="7">
        <v>0.5</v>
      </c>
      <c r="R41" s="7">
        <v>1.5</v>
      </c>
      <c r="S41" s="7">
        <v>0.5</v>
      </c>
      <c r="T41" s="7">
        <v>0</v>
      </c>
      <c r="U41" s="7">
        <v>18</v>
      </c>
    </row>
    <row r="42" spans="1:21" x14ac:dyDescent="0.45">
      <c r="A42" s="8" t="s">
        <v>76</v>
      </c>
      <c r="B42" s="8" t="s">
        <v>77</v>
      </c>
      <c r="C42" s="8" t="s">
        <v>149</v>
      </c>
      <c r="D42" s="8">
        <v>1.5</v>
      </c>
      <c r="E42" s="8">
        <v>1</v>
      </c>
      <c r="F42" s="8">
        <v>1</v>
      </c>
      <c r="G42" s="8">
        <v>0.5</v>
      </c>
      <c r="H42" s="8">
        <v>2</v>
      </c>
      <c r="I42" s="8">
        <v>1</v>
      </c>
      <c r="J42" s="8">
        <v>1</v>
      </c>
      <c r="K42" s="8">
        <v>2</v>
      </c>
      <c r="L42" s="8">
        <v>1.5</v>
      </c>
      <c r="M42" s="8">
        <v>0.5</v>
      </c>
      <c r="N42" s="8">
        <v>0</v>
      </c>
      <c r="O42" s="8">
        <v>1.5</v>
      </c>
      <c r="P42" s="8">
        <v>1.5</v>
      </c>
      <c r="Q42" s="8">
        <v>1</v>
      </c>
      <c r="R42" s="8">
        <v>1.5</v>
      </c>
      <c r="S42" s="8">
        <v>0.5</v>
      </c>
      <c r="T42" s="8">
        <v>0.5</v>
      </c>
      <c r="U42" s="8">
        <v>18.5</v>
      </c>
    </row>
    <row r="43" spans="1:21" x14ac:dyDescent="0.45">
      <c r="A43" s="7" t="s">
        <v>78</v>
      </c>
      <c r="B43" s="7" t="s">
        <v>79</v>
      </c>
      <c r="C43" s="7" t="s">
        <v>149</v>
      </c>
      <c r="D43" s="7">
        <v>1.5</v>
      </c>
      <c r="E43" s="7">
        <v>1</v>
      </c>
      <c r="F43" s="7">
        <v>1</v>
      </c>
      <c r="G43" s="7">
        <v>0</v>
      </c>
      <c r="H43" s="7">
        <v>2</v>
      </c>
      <c r="I43" s="7">
        <v>1</v>
      </c>
      <c r="J43" s="7">
        <v>1</v>
      </c>
      <c r="K43" s="7">
        <v>2</v>
      </c>
      <c r="L43" s="7">
        <v>1.5</v>
      </c>
      <c r="M43" s="7">
        <v>0.5</v>
      </c>
      <c r="N43" s="7">
        <v>0</v>
      </c>
      <c r="O43" s="7">
        <v>0.5</v>
      </c>
      <c r="P43" s="7">
        <v>1.5</v>
      </c>
      <c r="Q43" s="7">
        <v>0</v>
      </c>
      <c r="R43" s="7">
        <v>1</v>
      </c>
      <c r="S43" s="7">
        <v>0.5</v>
      </c>
      <c r="T43" s="7">
        <v>0</v>
      </c>
      <c r="U43" s="7">
        <v>15</v>
      </c>
    </row>
    <row r="44" spans="1:21" x14ac:dyDescent="0.45">
      <c r="A44" s="8" t="s">
        <v>80</v>
      </c>
      <c r="B44" s="8" t="s">
        <v>81</v>
      </c>
      <c r="C44" s="8" t="s">
        <v>149</v>
      </c>
      <c r="D44" s="8">
        <v>1.5</v>
      </c>
      <c r="E44" s="8">
        <v>1</v>
      </c>
      <c r="F44" s="8">
        <v>1</v>
      </c>
      <c r="G44" s="8">
        <v>0.5</v>
      </c>
      <c r="H44" s="8">
        <v>2</v>
      </c>
      <c r="I44" s="8">
        <v>1</v>
      </c>
      <c r="J44" s="8">
        <v>1</v>
      </c>
      <c r="K44" s="8">
        <v>2</v>
      </c>
      <c r="L44" s="8">
        <v>1.5</v>
      </c>
      <c r="M44" s="8">
        <v>0.5</v>
      </c>
      <c r="N44" s="8">
        <v>0</v>
      </c>
      <c r="O44" s="8">
        <v>1.5</v>
      </c>
      <c r="P44" s="8">
        <v>1.5</v>
      </c>
      <c r="Q44" s="8">
        <v>0.5</v>
      </c>
      <c r="R44" s="8">
        <v>1</v>
      </c>
      <c r="S44" s="8">
        <v>0.5</v>
      </c>
      <c r="T44" s="8">
        <v>0.5</v>
      </c>
      <c r="U44" s="8">
        <v>17.5</v>
      </c>
    </row>
    <row r="45" spans="1:21" x14ac:dyDescent="0.45">
      <c r="A45" s="7" t="s">
        <v>82</v>
      </c>
      <c r="B45" s="7" t="s">
        <v>83</v>
      </c>
      <c r="C45" s="7" t="s">
        <v>149</v>
      </c>
      <c r="D45" s="7">
        <v>1.5</v>
      </c>
      <c r="E45" s="7">
        <v>1</v>
      </c>
      <c r="F45" s="7">
        <v>1</v>
      </c>
      <c r="G45" s="7">
        <v>0.5</v>
      </c>
      <c r="H45" s="7">
        <v>2</v>
      </c>
      <c r="I45" s="7">
        <v>1</v>
      </c>
      <c r="J45" s="7">
        <v>1</v>
      </c>
      <c r="K45" s="7">
        <v>2</v>
      </c>
      <c r="L45" s="7">
        <v>1.5</v>
      </c>
      <c r="M45" s="7">
        <v>1.5</v>
      </c>
      <c r="N45" s="7">
        <v>0.5</v>
      </c>
      <c r="O45" s="7">
        <v>0.5</v>
      </c>
      <c r="P45" s="7">
        <v>1.5</v>
      </c>
      <c r="Q45" s="7">
        <v>0.5</v>
      </c>
      <c r="R45" s="7">
        <v>1.5</v>
      </c>
      <c r="S45" s="7">
        <v>0.5</v>
      </c>
      <c r="T45" s="7">
        <v>0.5</v>
      </c>
      <c r="U45" s="7">
        <v>18.5</v>
      </c>
    </row>
    <row r="46" spans="1:21" x14ac:dyDescent="0.45">
      <c r="A46" s="8" t="s">
        <v>84</v>
      </c>
      <c r="B46" s="8" t="s">
        <v>85</v>
      </c>
      <c r="C46" s="8" t="s">
        <v>149</v>
      </c>
      <c r="D46" s="8">
        <v>1.5</v>
      </c>
      <c r="E46" s="8">
        <v>1</v>
      </c>
      <c r="F46" s="8">
        <v>1</v>
      </c>
      <c r="G46" s="8">
        <v>0.5</v>
      </c>
      <c r="H46" s="8">
        <v>2</v>
      </c>
      <c r="I46" s="8">
        <v>1</v>
      </c>
      <c r="J46" s="8">
        <v>1</v>
      </c>
      <c r="K46" s="8">
        <v>2</v>
      </c>
      <c r="L46" s="8">
        <v>1.5</v>
      </c>
      <c r="M46" s="8">
        <v>0.5</v>
      </c>
      <c r="N46" s="8">
        <v>0</v>
      </c>
      <c r="O46" s="8">
        <v>0.5</v>
      </c>
      <c r="P46" s="8">
        <v>1</v>
      </c>
      <c r="Q46" s="8">
        <v>0</v>
      </c>
      <c r="R46" s="8">
        <v>1.5</v>
      </c>
      <c r="S46" s="8">
        <v>0.5</v>
      </c>
      <c r="T46" s="8">
        <v>0.5</v>
      </c>
      <c r="U46" s="8">
        <v>16</v>
      </c>
    </row>
    <row r="47" spans="1:21" x14ac:dyDescent="0.45">
      <c r="A47" s="7" t="s">
        <v>86</v>
      </c>
      <c r="B47" s="7" t="s">
        <v>87</v>
      </c>
      <c r="C47" s="7" t="s">
        <v>149</v>
      </c>
      <c r="D47" s="7">
        <v>1.5</v>
      </c>
      <c r="E47" s="7">
        <v>1</v>
      </c>
      <c r="F47" s="7">
        <v>1</v>
      </c>
      <c r="G47" s="7">
        <v>0</v>
      </c>
      <c r="H47" s="7">
        <v>2</v>
      </c>
      <c r="I47" s="7">
        <v>1</v>
      </c>
      <c r="J47" s="7">
        <v>1</v>
      </c>
      <c r="K47" s="7">
        <v>2</v>
      </c>
      <c r="L47" s="7">
        <v>1.5</v>
      </c>
      <c r="M47" s="7">
        <v>1.5</v>
      </c>
      <c r="N47" s="7">
        <v>0</v>
      </c>
      <c r="O47" s="7">
        <v>1.5</v>
      </c>
      <c r="P47" s="7">
        <v>1.5</v>
      </c>
      <c r="Q47" s="7">
        <v>0.5</v>
      </c>
      <c r="R47" s="7">
        <v>1.5</v>
      </c>
      <c r="S47" s="7">
        <v>0.5</v>
      </c>
      <c r="T47" s="7">
        <v>0</v>
      </c>
      <c r="U47" s="7">
        <v>18</v>
      </c>
    </row>
    <row r="48" spans="1:21" x14ac:dyDescent="0.45">
      <c r="A48" s="8" t="s">
        <v>88</v>
      </c>
      <c r="B48" s="8" t="s">
        <v>89</v>
      </c>
      <c r="C48" s="8" t="s">
        <v>149</v>
      </c>
      <c r="D48" s="8">
        <v>1.5</v>
      </c>
      <c r="E48" s="8">
        <v>1</v>
      </c>
      <c r="F48" s="8">
        <v>1</v>
      </c>
      <c r="G48" s="8">
        <v>0</v>
      </c>
      <c r="H48" s="8">
        <v>2</v>
      </c>
      <c r="I48" s="8">
        <v>1</v>
      </c>
      <c r="J48" s="8">
        <v>1</v>
      </c>
      <c r="K48" s="8">
        <v>2</v>
      </c>
      <c r="L48" s="8">
        <v>1.5</v>
      </c>
      <c r="M48" s="8">
        <v>1.5</v>
      </c>
      <c r="N48" s="8">
        <v>0</v>
      </c>
      <c r="O48" s="8">
        <v>1</v>
      </c>
      <c r="P48" s="8">
        <v>1.5</v>
      </c>
      <c r="Q48" s="8">
        <v>0.25</v>
      </c>
      <c r="R48" s="8">
        <v>1.5</v>
      </c>
      <c r="S48" s="8">
        <v>0.5</v>
      </c>
      <c r="T48" s="8">
        <v>0</v>
      </c>
      <c r="U48" s="8">
        <v>17.25</v>
      </c>
    </row>
    <row r="49" spans="1:21" x14ac:dyDescent="0.45">
      <c r="A49" s="7" t="s">
        <v>90</v>
      </c>
      <c r="B49" s="7" t="s">
        <v>91</v>
      </c>
      <c r="C49" s="7" t="s">
        <v>149</v>
      </c>
      <c r="D49" s="7">
        <v>1.5</v>
      </c>
      <c r="E49" s="7">
        <v>1</v>
      </c>
      <c r="F49" s="7">
        <v>1</v>
      </c>
      <c r="G49" s="7">
        <v>0</v>
      </c>
      <c r="H49" s="7">
        <v>2</v>
      </c>
      <c r="I49" s="7">
        <v>1</v>
      </c>
      <c r="J49" s="7">
        <v>1</v>
      </c>
      <c r="K49" s="7">
        <v>2</v>
      </c>
      <c r="L49" s="7">
        <v>1.5</v>
      </c>
      <c r="M49" s="7">
        <v>0.5</v>
      </c>
      <c r="N49" s="7">
        <v>0</v>
      </c>
      <c r="O49" s="7">
        <v>0.5</v>
      </c>
      <c r="P49" s="7">
        <v>1.5</v>
      </c>
      <c r="Q49" s="7">
        <v>0</v>
      </c>
      <c r="R49" s="7">
        <v>0.5</v>
      </c>
      <c r="S49" s="7">
        <v>0.5</v>
      </c>
      <c r="T49" s="7">
        <v>0</v>
      </c>
      <c r="U49" s="7">
        <v>14.5</v>
      </c>
    </row>
    <row r="50" spans="1:21" x14ac:dyDescent="0.45">
      <c r="A50" s="8" t="s">
        <v>92</v>
      </c>
      <c r="B50" s="8" t="s">
        <v>93</v>
      </c>
      <c r="C50" s="8" t="s">
        <v>149</v>
      </c>
      <c r="D50" s="8">
        <v>1.5</v>
      </c>
      <c r="E50" s="8">
        <v>1</v>
      </c>
      <c r="F50" s="8">
        <v>1</v>
      </c>
      <c r="G50" s="8">
        <v>0.5</v>
      </c>
      <c r="H50" s="8">
        <v>2</v>
      </c>
      <c r="I50" s="8">
        <v>1</v>
      </c>
      <c r="J50" s="8">
        <v>1</v>
      </c>
      <c r="K50" s="8">
        <v>2</v>
      </c>
      <c r="L50" s="8">
        <v>1.5</v>
      </c>
      <c r="M50" s="8">
        <v>0.5</v>
      </c>
      <c r="N50" s="8">
        <v>0</v>
      </c>
      <c r="O50" s="8">
        <v>1.5</v>
      </c>
      <c r="P50" s="8">
        <v>1.5</v>
      </c>
      <c r="Q50" s="8">
        <v>0.5</v>
      </c>
      <c r="R50" s="8">
        <v>1</v>
      </c>
      <c r="S50" s="8">
        <v>0.5</v>
      </c>
      <c r="T50" s="8">
        <v>0.5</v>
      </c>
      <c r="U50" s="8">
        <v>17.5</v>
      </c>
    </row>
    <row r="51" spans="1:21" x14ac:dyDescent="0.45">
      <c r="A51" s="7" t="s">
        <v>94</v>
      </c>
      <c r="B51" s="7" t="s">
        <v>95</v>
      </c>
      <c r="C51" s="7" t="s">
        <v>149</v>
      </c>
      <c r="D51" s="7">
        <v>1.5</v>
      </c>
      <c r="E51" s="7">
        <v>1</v>
      </c>
      <c r="F51" s="7">
        <v>1</v>
      </c>
      <c r="G51" s="7">
        <v>0.25</v>
      </c>
      <c r="H51" s="7">
        <v>2</v>
      </c>
      <c r="I51" s="7">
        <v>1</v>
      </c>
      <c r="J51" s="7">
        <v>1</v>
      </c>
      <c r="K51" s="7">
        <v>2</v>
      </c>
      <c r="L51" s="7">
        <v>1.5</v>
      </c>
      <c r="M51" s="7">
        <v>0.5</v>
      </c>
      <c r="N51" s="7">
        <v>1</v>
      </c>
      <c r="O51" s="7">
        <v>1.5</v>
      </c>
      <c r="P51" s="7">
        <v>1.5</v>
      </c>
      <c r="Q51" s="7">
        <v>1</v>
      </c>
      <c r="R51" s="7">
        <v>1.5</v>
      </c>
      <c r="S51" s="7">
        <v>0.5</v>
      </c>
      <c r="T51" s="7">
        <v>0.25</v>
      </c>
      <c r="U51" s="7">
        <v>19</v>
      </c>
    </row>
    <row r="52" spans="1:21" x14ac:dyDescent="0.45">
      <c r="A52" s="8" t="s">
        <v>96</v>
      </c>
      <c r="B52" s="8" t="s">
        <v>97</v>
      </c>
      <c r="C52" s="8" t="s">
        <v>149</v>
      </c>
      <c r="D52" s="8">
        <v>1.5</v>
      </c>
      <c r="E52" s="8">
        <v>1</v>
      </c>
      <c r="F52" s="8">
        <v>1</v>
      </c>
      <c r="G52" s="8">
        <v>0.5</v>
      </c>
      <c r="H52" s="8">
        <v>2</v>
      </c>
      <c r="I52" s="8">
        <v>1</v>
      </c>
      <c r="J52" s="8">
        <v>1</v>
      </c>
      <c r="K52" s="8">
        <v>2</v>
      </c>
      <c r="L52" s="8">
        <v>1.5</v>
      </c>
      <c r="M52" s="8">
        <v>0.5</v>
      </c>
      <c r="N52" s="8">
        <v>0</v>
      </c>
      <c r="O52" s="8">
        <v>1.5</v>
      </c>
      <c r="P52" s="8">
        <v>1.5</v>
      </c>
      <c r="Q52" s="8">
        <v>1</v>
      </c>
      <c r="R52" s="8">
        <v>1.5</v>
      </c>
      <c r="S52" s="8">
        <v>0.5</v>
      </c>
      <c r="T52" s="8">
        <v>0.5</v>
      </c>
      <c r="U52" s="8">
        <v>18.5</v>
      </c>
    </row>
    <row r="53" spans="1:21" x14ac:dyDescent="0.45">
      <c r="A53" s="7" t="s">
        <v>98</v>
      </c>
      <c r="B53" s="7" t="s">
        <v>99</v>
      </c>
      <c r="C53" s="7" t="s">
        <v>149</v>
      </c>
      <c r="D53" s="7">
        <v>1.5</v>
      </c>
      <c r="E53" s="7">
        <v>1</v>
      </c>
      <c r="F53" s="7">
        <v>1</v>
      </c>
      <c r="G53" s="7">
        <v>0.5</v>
      </c>
      <c r="H53" s="7">
        <v>2</v>
      </c>
      <c r="I53" s="7">
        <v>1</v>
      </c>
      <c r="J53" s="7">
        <v>1</v>
      </c>
      <c r="K53" s="7">
        <v>2</v>
      </c>
      <c r="L53" s="7">
        <v>1.5</v>
      </c>
      <c r="M53" s="7">
        <v>1.5</v>
      </c>
      <c r="N53" s="7">
        <v>1</v>
      </c>
      <c r="O53" s="7">
        <v>1.5</v>
      </c>
      <c r="P53" s="7">
        <v>1.5</v>
      </c>
      <c r="Q53" s="7">
        <v>1</v>
      </c>
      <c r="R53" s="7">
        <v>0.5</v>
      </c>
      <c r="S53" s="7">
        <v>0</v>
      </c>
      <c r="T53" s="7">
        <v>0</v>
      </c>
      <c r="U53" s="7">
        <v>18.5</v>
      </c>
    </row>
    <row r="54" spans="1:21" x14ac:dyDescent="0.45">
      <c r="A54" s="8" t="s">
        <v>100</v>
      </c>
      <c r="B54" s="8" t="s">
        <v>64</v>
      </c>
      <c r="C54" s="8" t="s">
        <v>151</v>
      </c>
      <c r="D54" s="8">
        <v>1.5</v>
      </c>
      <c r="E54" s="8">
        <v>1</v>
      </c>
      <c r="F54" s="8">
        <v>1</v>
      </c>
      <c r="G54" s="8">
        <v>0.25</v>
      </c>
      <c r="H54" s="8">
        <v>2</v>
      </c>
      <c r="I54" s="8">
        <v>1</v>
      </c>
      <c r="J54" s="8">
        <v>1</v>
      </c>
      <c r="K54" s="8">
        <v>2</v>
      </c>
      <c r="L54" s="8">
        <v>1.5</v>
      </c>
      <c r="M54" s="8">
        <v>0.5</v>
      </c>
      <c r="N54" s="8">
        <v>0</v>
      </c>
      <c r="O54" s="8">
        <v>0.5</v>
      </c>
      <c r="P54" s="8">
        <v>1.5</v>
      </c>
      <c r="Q54" s="8">
        <v>0.25</v>
      </c>
      <c r="R54" s="8">
        <v>1</v>
      </c>
      <c r="S54" s="8">
        <v>0.5</v>
      </c>
      <c r="T54" s="8">
        <v>0.25</v>
      </c>
      <c r="U54" s="8">
        <v>15.75</v>
      </c>
    </row>
    <row r="55" spans="1:21" x14ac:dyDescent="0.45">
      <c r="A55" s="7" t="s">
        <v>101</v>
      </c>
      <c r="B55" s="7" t="s">
        <v>102</v>
      </c>
      <c r="C55" s="7" t="s">
        <v>149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</row>
    <row r="56" spans="1:21" x14ac:dyDescent="0.45">
      <c r="A56" s="8" t="s">
        <v>103</v>
      </c>
      <c r="B56" s="8" t="s">
        <v>104</v>
      </c>
      <c r="C56" s="8" t="s">
        <v>149</v>
      </c>
      <c r="D56" s="8">
        <v>1.5</v>
      </c>
      <c r="E56" s="8">
        <v>1</v>
      </c>
      <c r="F56" s="8">
        <v>1</v>
      </c>
      <c r="G56" s="8">
        <v>0.5</v>
      </c>
      <c r="H56" s="8">
        <v>2</v>
      </c>
      <c r="I56" s="8">
        <v>1</v>
      </c>
      <c r="J56" s="8">
        <v>1</v>
      </c>
      <c r="K56" s="8">
        <v>2</v>
      </c>
      <c r="L56" s="8">
        <v>1.5</v>
      </c>
      <c r="M56" s="8">
        <v>1.5</v>
      </c>
      <c r="N56" s="8">
        <v>0.5</v>
      </c>
      <c r="O56" s="8">
        <v>0.5</v>
      </c>
      <c r="P56" s="8">
        <v>1.5</v>
      </c>
      <c r="Q56" s="8">
        <v>0.5</v>
      </c>
      <c r="R56" s="8">
        <v>1.5</v>
      </c>
      <c r="S56" s="8">
        <v>0.5</v>
      </c>
      <c r="T56" s="8">
        <v>0.5</v>
      </c>
      <c r="U56" s="8">
        <v>18.5</v>
      </c>
    </row>
    <row r="57" spans="1:21" x14ac:dyDescent="0.45">
      <c r="A57" s="7" t="s">
        <v>105</v>
      </c>
      <c r="B57" s="7" t="s">
        <v>106</v>
      </c>
      <c r="C57" s="7" t="s">
        <v>149</v>
      </c>
      <c r="D57" s="7">
        <v>1.5</v>
      </c>
      <c r="E57" s="7">
        <v>1</v>
      </c>
      <c r="F57" s="7">
        <v>1</v>
      </c>
      <c r="G57" s="7">
        <v>0</v>
      </c>
      <c r="H57" s="7">
        <v>2</v>
      </c>
      <c r="I57" s="7">
        <v>1</v>
      </c>
      <c r="J57" s="7">
        <v>1</v>
      </c>
      <c r="K57" s="7">
        <v>2</v>
      </c>
      <c r="L57" s="7">
        <v>1.5</v>
      </c>
      <c r="M57" s="7">
        <v>1.5</v>
      </c>
      <c r="N57" s="7">
        <v>0</v>
      </c>
      <c r="O57" s="7">
        <v>1</v>
      </c>
      <c r="P57" s="7">
        <v>1.5</v>
      </c>
      <c r="Q57" s="7">
        <v>0.25</v>
      </c>
      <c r="R57" s="7">
        <v>1.5</v>
      </c>
      <c r="S57" s="7">
        <v>0.5</v>
      </c>
      <c r="T57" s="7">
        <v>0</v>
      </c>
      <c r="U57" s="7">
        <v>17.25</v>
      </c>
    </row>
    <row r="58" spans="1:21" x14ac:dyDescent="0.45">
      <c r="A58" s="8" t="s">
        <v>107</v>
      </c>
      <c r="B58" s="8" t="s">
        <v>108</v>
      </c>
      <c r="C58" s="8" t="s">
        <v>149</v>
      </c>
      <c r="D58" s="8">
        <v>1.5</v>
      </c>
      <c r="E58" s="8">
        <v>1</v>
      </c>
      <c r="F58" s="8">
        <v>1</v>
      </c>
      <c r="G58" s="8">
        <v>0.5</v>
      </c>
      <c r="H58" s="8">
        <v>2</v>
      </c>
      <c r="I58" s="8">
        <v>1</v>
      </c>
      <c r="J58" s="8">
        <v>1</v>
      </c>
      <c r="K58" s="8">
        <v>2</v>
      </c>
      <c r="L58" s="8">
        <v>1.5</v>
      </c>
      <c r="M58" s="8">
        <v>0.5</v>
      </c>
      <c r="N58" s="8">
        <v>0</v>
      </c>
      <c r="O58" s="8">
        <v>1.5</v>
      </c>
      <c r="P58" s="8">
        <v>0.5</v>
      </c>
      <c r="Q58" s="8">
        <v>1</v>
      </c>
      <c r="R58" s="8">
        <v>1.5</v>
      </c>
      <c r="S58" s="8">
        <v>0.5</v>
      </c>
      <c r="T58" s="8">
        <v>0.5</v>
      </c>
      <c r="U58" s="8">
        <v>17.5</v>
      </c>
    </row>
    <row r="59" spans="1:21" x14ac:dyDescent="0.45">
      <c r="A59" s="7" t="s">
        <v>109</v>
      </c>
      <c r="B59" s="7" t="s">
        <v>110</v>
      </c>
      <c r="C59" s="7" t="s">
        <v>149</v>
      </c>
      <c r="D59" s="7">
        <v>1.5</v>
      </c>
      <c r="E59" s="7">
        <v>1</v>
      </c>
      <c r="F59" s="7">
        <v>1</v>
      </c>
      <c r="G59" s="7">
        <v>0</v>
      </c>
      <c r="H59" s="7">
        <v>2</v>
      </c>
      <c r="I59" s="7">
        <v>1</v>
      </c>
      <c r="J59" s="7">
        <v>1</v>
      </c>
      <c r="K59" s="7">
        <v>2</v>
      </c>
      <c r="L59" s="7">
        <v>1.5</v>
      </c>
      <c r="M59" s="7">
        <v>0.5</v>
      </c>
      <c r="N59" s="7">
        <v>0</v>
      </c>
      <c r="O59" s="7">
        <v>0.5</v>
      </c>
      <c r="P59" s="7">
        <v>1.5</v>
      </c>
      <c r="Q59" s="7">
        <v>0</v>
      </c>
      <c r="R59" s="7">
        <v>1</v>
      </c>
      <c r="S59" s="7">
        <v>0.5</v>
      </c>
      <c r="T59" s="7">
        <v>0</v>
      </c>
      <c r="U59" s="7">
        <v>15</v>
      </c>
    </row>
    <row r="60" spans="1:21" x14ac:dyDescent="0.45">
      <c r="A60" s="8" t="s">
        <v>111</v>
      </c>
      <c r="B60" s="8" t="s">
        <v>112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>
        <v>0</v>
      </c>
    </row>
    <row r="61" spans="1:21" x14ac:dyDescent="0.45">
      <c r="A61" s="7" t="s">
        <v>113</v>
      </c>
      <c r="B61" s="7" t="s">
        <v>58</v>
      </c>
      <c r="C61" s="7" t="s">
        <v>149</v>
      </c>
      <c r="D61" s="7">
        <v>1.5</v>
      </c>
      <c r="E61" s="7">
        <v>1</v>
      </c>
      <c r="F61" s="7">
        <v>1</v>
      </c>
      <c r="G61" s="7">
        <v>0</v>
      </c>
      <c r="H61" s="7">
        <v>2</v>
      </c>
      <c r="I61" s="7">
        <v>1</v>
      </c>
      <c r="J61" s="7">
        <v>1</v>
      </c>
      <c r="K61" s="7">
        <v>2</v>
      </c>
      <c r="L61" s="7">
        <v>1.5</v>
      </c>
      <c r="M61" s="7">
        <v>0.5</v>
      </c>
      <c r="N61" s="7">
        <v>0.5</v>
      </c>
      <c r="O61" s="7">
        <v>1.5</v>
      </c>
      <c r="P61" s="7">
        <v>0.5</v>
      </c>
      <c r="Q61" s="7">
        <v>0</v>
      </c>
      <c r="R61" s="7">
        <v>0</v>
      </c>
      <c r="S61" s="7">
        <v>0</v>
      </c>
      <c r="T61" s="7">
        <v>0</v>
      </c>
      <c r="U61" s="7">
        <v>14</v>
      </c>
    </row>
    <row r="62" spans="1:21" x14ac:dyDescent="0.45">
      <c r="A62" s="8" t="s">
        <v>113</v>
      </c>
      <c r="B62" s="8" t="s">
        <v>114</v>
      </c>
      <c r="C62" s="8" t="s">
        <v>149</v>
      </c>
      <c r="D62" s="8">
        <v>1.5</v>
      </c>
      <c r="E62" s="8">
        <v>1</v>
      </c>
      <c r="F62" s="8">
        <v>1</v>
      </c>
      <c r="G62" s="8">
        <v>0</v>
      </c>
      <c r="H62" s="8">
        <v>2</v>
      </c>
      <c r="I62" s="8">
        <v>1</v>
      </c>
      <c r="J62" s="8">
        <v>1</v>
      </c>
      <c r="K62" s="8">
        <v>2</v>
      </c>
      <c r="L62" s="8">
        <v>1.5</v>
      </c>
      <c r="M62" s="8">
        <v>0.5</v>
      </c>
      <c r="N62" s="8">
        <v>0.5</v>
      </c>
      <c r="O62" s="8">
        <v>1.5</v>
      </c>
      <c r="P62" s="8">
        <v>0.5</v>
      </c>
      <c r="Q62" s="8">
        <v>0</v>
      </c>
      <c r="R62" s="8">
        <v>0</v>
      </c>
      <c r="S62" s="8">
        <v>0</v>
      </c>
      <c r="T62" s="8">
        <v>0</v>
      </c>
      <c r="U62" s="8">
        <v>14</v>
      </c>
    </row>
    <row r="63" spans="1:21" x14ac:dyDescent="0.45">
      <c r="A63" s="7" t="s">
        <v>115</v>
      </c>
      <c r="B63" s="7" t="s">
        <v>116</v>
      </c>
      <c r="C63" s="7" t="s">
        <v>149</v>
      </c>
      <c r="D63" s="7">
        <v>1.5</v>
      </c>
      <c r="E63" s="7">
        <v>1</v>
      </c>
      <c r="F63" s="7">
        <v>1</v>
      </c>
      <c r="G63" s="7">
        <v>0.5</v>
      </c>
      <c r="H63" s="7">
        <v>2</v>
      </c>
      <c r="I63" s="7">
        <v>1</v>
      </c>
      <c r="J63" s="7">
        <v>1</v>
      </c>
      <c r="K63" s="7">
        <v>2</v>
      </c>
      <c r="L63" s="7">
        <v>1.5</v>
      </c>
      <c r="M63" s="7">
        <v>0.5</v>
      </c>
      <c r="N63" s="7">
        <v>0</v>
      </c>
      <c r="O63" s="7">
        <v>1.5</v>
      </c>
      <c r="P63" s="7">
        <v>1.5</v>
      </c>
      <c r="Q63" s="7">
        <v>0.5</v>
      </c>
      <c r="R63" s="7">
        <v>1</v>
      </c>
      <c r="S63" s="7">
        <v>0.5</v>
      </c>
      <c r="T63" s="7">
        <v>0.5</v>
      </c>
      <c r="U63" s="7">
        <v>17.5</v>
      </c>
    </row>
    <row r="64" spans="1:21" x14ac:dyDescent="0.4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Exam</vt:lpstr>
      <vt:lpstr>TP1</vt:lpstr>
      <vt:lpstr>TP2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Berger</dc:creator>
  <cp:lastModifiedBy>BERGER Maxime</cp:lastModifiedBy>
  <dcterms:created xsi:type="dcterms:W3CDTF">2015-06-05T18:17:20Z</dcterms:created>
  <dcterms:modified xsi:type="dcterms:W3CDTF">2026-06-03T15:09:51Z</dcterms:modified>
</cp:coreProperties>
</file>